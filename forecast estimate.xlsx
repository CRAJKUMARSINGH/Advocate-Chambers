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jkumar\Advocate-Chambers\"/>
    </mc:Choice>
  </mc:AlternateContent>
  <bookViews>
    <workbookView xWindow="-120" yWindow="-120" windowWidth="21840" windowHeight="13140" activeTab="2"/>
  </bookViews>
  <sheets>
    <sheet name="bar" sheetId="4" r:id="rId1"/>
    <sheet name="Front " sheetId="3" r:id="rId2"/>
    <sheet name="pwd" sheetId="1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B" localSheetId="0">[1]Abstract!#REF!</definedName>
    <definedName name="B" localSheetId="2">[1]Abstract!#REF!</definedName>
    <definedName name="B">[1]Abstract!#REF!</definedName>
    <definedName name="Cft">0.583333333333333</definedName>
    <definedName name="CUM" localSheetId="0">#REF!</definedName>
    <definedName name="CUM">#REF!</definedName>
    <definedName name="_xlnm.Database" localSheetId="0">#REF!</definedName>
    <definedName name="_xlnm.Database">#REF!</definedName>
    <definedName name="G509a55" localSheetId="0">#REF!</definedName>
    <definedName name="G509a55">#REF!</definedName>
    <definedName name="L_Bhisti" localSheetId="0">[2]Labour!$D$3</definedName>
    <definedName name="L_Bhisti" localSheetId="2">[2]Labour!$D$3</definedName>
    <definedName name="L_Bhisti">[3]Labour!$D$3</definedName>
    <definedName name="L_BitumenSprayer" localSheetId="0">[4]Labour!$D$4</definedName>
    <definedName name="L_BitumenSprayer" localSheetId="2">[4]Labour!$D$4</definedName>
    <definedName name="L_BitumenSprayer">[3]Labour!$D$4</definedName>
    <definedName name="L_Blacksmith" localSheetId="0">[2]Labour!$D$5</definedName>
    <definedName name="L_Blacksmith" localSheetId="2">[2]Labour!$D$5</definedName>
    <definedName name="L_Blacksmith">[3]Labour!$D$5</definedName>
    <definedName name="L_Blaster" localSheetId="0">[2]Labour!$D$6</definedName>
    <definedName name="L_Blaster" localSheetId="2">[2]Labour!$D$6</definedName>
    <definedName name="L_Blaster">[3]Labour!$D$6</definedName>
    <definedName name="L_Carpenter_1stClass" localSheetId="0">[4]Labour!$D$7</definedName>
    <definedName name="L_Carpenter_1stClass" localSheetId="2">[4]Labour!$D$7</definedName>
    <definedName name="L_Carpenter_1stClass">[3]Labour!$D$7</definedName>
    <definedName name="L_ChipsSpreader" localSheetId="0">[4]Labour!$D$8</definedName>
    <definedName name="L_ChipsSpreader" localSheetId="2">[4]Labour!$D$8</definedName>
    <definedName name="L_ChipsSpreader">[3]Labour!$D$8</definedName>
    <definedName name="L_Chiseller" localSheetId="0">[4]Labour!$D$9</definedName>
    <definedName name="L_Chiseller" localSheetId="2">[4]Labour!$D$9</definedName>
    <definedName name="L_Chiseller">[3]Labour!$D$9</definedName>
    <definedName name="L_Dresser_Skilled" localSheetId="0">[4]Labour!$D$10</definedName>
    <definedName name="L_Dresser_Skilled" localSheetId="2">[4]Labour!$D$10</definedName>
    <definedName name="L_Dresser_Skilled">[3]Labour!$D$10</definedName>
    <definedName name="L_Driller" localSheetId="0">[2]Labour!$D$11</definedName>
    <definedName name="L_Driller" localSheetId="2">[2]Labour!$D$11</definedName>
    <definedName name="L_Driller">[3]Labour!$D$11</definedName>
    <definedName name="L_Electrician_Lineman" localSheetId="0">[4]Labour!$D$12</definedName>
    <definedName name="L_Electrician_Lineman" localSheetId="2">[4]Labour!$D$12</definedName>
    <definedName name="L_Electrician_Lineman">[3]Labour!$D$12</definedName>
    <definedName name="L_Fitter" localSheetId="0">[4]Labour!$D$13</definedName>
    <definedName name="L_Fitter" localSheetId="2">[4]Labour!$D$13</definedName>
    <definedName name="L_Fitter">[3]Labour!$D$13</definedName>
    <definedName name="L_Mason_1stClass" localSheetId="0">[2]Labour!$D$14</definedName>
    <definedName name="L_Mason_1stClass" localSheetId="2">[2]Labour!$D$14</definedName>
    <definedName name="L_Mason_1stClass">[3]Labour!$D$14</definedName>
    <definedName name="L_Mason_2ndClass" localSheetId="0">[4]Labour!$D$15</definedName>
    <definedName name="L_Mason_2ndClass" localSheetId="2">[4]Labour!$D$15</definedName>
    <definedName name="L_Mason_2ndClass">[3]Labour!$D$15</definedName>
    <definedName name="L_Mate" localSheetId="0">[2]Labour!$D$16</definedName>
    <definedName name="L_Mate" localSheetId="2">[2]Labour!$D$16</definedName>
    <definedName name="L_Mate">[3]Labour!$D$16</definedName>
    <definedName name="L_Mazdoor" localSheetId="0">[2]Labour!$D$17</definedName>
    <definedName name="L_Mazdoor" localSheetId="2">[2]Labour!$D$17</definedName>
    <definedName name="L_Mazdoor">[3]Labour!$D$17</definedName>
    <definedName name="L_Mazdoor_Semi" localSheetId="0">[4]Labour!$D$18</definedName>
    <definedName name="L_Mazdoor_Semi" localSheetId="2">[4]Labour!$D$18</definedName>
    <definedName name="L_Mazdoor_Semi">[3]Labour!$D$18</definedName>
    <definedName name="L_Mazdoor_Skilled" localSheetId="0">[2]Labour!$D$19</definedName>
    <definedName name="L_Mazdoor_Skilled" localSheetId="2">[2]Labour!$D$19</definedName>
    <definedName name="L_Mazdoor_Skilled">[3]Labour!$D$19</definedName>
    <definedName name="L_Painter_1stClass" localSheetId="0">[4]Labour!$D$20</definedName>
    <definedName name="L_Painter_1stClass" localSheetId="2">[4]Labour!$D$20</definedName>
    <definedName name="L_Painter_1stClass">[3]Labour!$D$20</definedName>
    <definedName name="L_Plumber" localSheetId="0">[4]Labour!$D$21</definedName>
    <definedName name="L_Plumber" localSheetId="2">[4]Labour!$D$21</definedName>
    <definedName name="L_Plumber">[3]Labour!$D$21</definedName>
    <definedName name="L_Surveyor" localSheetId="0">[4]Labour!$D$22</definedName>
    <definedName name="L_Surveyor" localSheetId="2">[4]Labour!$D$22</definedName>
    <definedName name="L_Surveyor">[3]Labour!$D$22</definedName>
    <definedName name="L_WhiteWasher" localSheetId="0">[4]Labour!$D$23</definedName>
    <definedName name="L_WhiteWasher" localSheetId="2">[4]Labour!$D$23</definedName>
    <definedName name="L_WhiteWasher">[3]Labour!$D$23</definedName>
    <definedName name="M_ACPipe_100" localSheetId="0">[4]Material!$D$3</definedName>
    <definedName name="M_ACPipe_100" localSheetId="2">[4]Material!$D$3</definedName>
    <definedName name="M_ACPipe_100">[3]Material!$D$3</definedName>
    <definedName name="M_Aggregate_10" localSheetId="0">[2]Material!$D$17</definedName>
    <definedName name="M_Aggregate_10" localSheetId="2">[2]Material!$D$17</definedName>
    <definedName name="M_Aggregate_10">[3]Material!$D$17</definedName>
    <definedName name="M_Aggregate_20" localSheetId="0">[2]Material!$D$18</definedName>
    <definedName name="M_Aggregate_20" localSheetId="2">[2]Material!$D$18</definedName>
    <definedName name="M_Aggregate_20">[3]Material!$D$18</definedName>
    <definedName name="M_Aggregate_224_236m_WMM" localSheetId="0">[4]Material!$D$26</definedName>
    <definedName name="M_Aggregate_224_236m_WMM" localSheetId="2">[4]Material!$D$26</definedName>
    <definedName name="M_Aggregate_224_236m_WMM">[3]Material!$D$26</definedName>
    <definedName name="M_Aggregate_375mmMaximum_224_56mm" localSheetId="0">[4]Material!$D$4</definedName>
    <definedName name="M_Aggregate_375mmMaximum_224_56mm" localSheetId="2">[4]Material!$D$4</definedName>
    <definedName name="M_Aggregate_375mmMaximum_224_56mm">[3]Material!$D$4</definedName>
    <definedName name="M_Aggregate_375mmMaximum_45_225mm" localSheetId="0">[4]Material!$D$5</definedName>
    <definedName name="M_Aggregate_375mmMaximum_45_225mm" localSheetId="2">[4]Material!$D$5</definedName>
    <definedName name="M_Aggregate_375mmMaximum_45_225mm">[3]Material!$D$5</definedName>
    <definedName name="M_Aggregate_375mmMaximum_Below_56mm" localSheetId="0">[4]Material!$D$6</definedName>
    <definedName name="M_Aggregate_375mmMaximum_Below_56mm" localSheetId="2">[4]Material!$D$6</definedName>
    <definedName name="M_Aggregate_375mmMaximum_Below_56mm">[3]Material!$D$6</definedName>
    <definedName name="M_Aggregate_40" localSheetId="0">[2]Material!$D$19</definedName>
    <definedName name="M_Aggregate_40" localSheetId="2">[2]Material!$D$19</definedName>
    <definedName name="M_Aggregate_40">[3]Material!$D$19</definedName>
    <definedName name="M_Aggregate_45_224m_WMM" localSheetId="0">[4]Material!$D$27</definedName>
    <definedName name="M_Aggregate_45_224m_WMM" localSheetId="2">[4]Material!$D$27</definedName>
    <definedName name="M_Aggregate_45_224m_WMM">[3]Material!$D$27</definedName>
    <definedName name="M_Aggregate_53mmMaximum_225_56mm" localSheetId="0">[4]Material!$D$7</definedName>
    <definedName name="M_Aggregate_53mmMaximum_225_56mm" localSheetId="2">[4]Material!$D$7</definedName>
    <definedName name="M_Aggregate_53mmMaximum_225_56mm">[3]Material!$D$7</definedName>
    <definedName name="M_Aggregate_53mmMaximum_63_45mm" localSheetId="0">[4]Material!$D$8</definedName>
    <definedName name="M_Aggregate_53mmMaximum_63_45mm" localSheetId="2">[4]Material!$D$8</definedName>
    <definedName name="M_Aggregate_53mmMaximum_63_45mm">[3]Material!$D$8</definedName>
    <definedName name="M_Aggregate_53mmMaximum_below_56mm" localSheetId="0">[4]Material!$D$9</definedName>
    <definedName name="M_Aggregate_53mmMaximum_below_56mm" localSheetId="2">[4]Material!$D$9</definedName>
    <definedName name="M_Aggregate_53mmMaximum_below_56mm">[3]Material!$D$9</definedName>
    <definedName name="M_Aggregate_Crushable_GradeI" localSheetId="0">[4]Material!$D$20</definedName>
    <definedName name="M_Aggregate_Crushable_GradeI" localSheetId="2">[4]Material!$D$20</definedName>
    <definedName name="M_Aggregate_Crushable_GradeI">[3]Material!$D$20</definedName>
    <definedName name="M_Aggregate_Crushable_GradeII" localSheetId="0">[2]Material!$D$21</definedName>
    <definedName name="M_Aggregate_Crushable_GradeII" localSheetId="2">[2]Material!$D$21</definedName>
    <definedName name="M_Aggregate_Crushable_GradeII">[3]Material!$D$21</definedName>
    <definedName name="M_Aggregate_Crushable_GradeIII" localSheetId="0">[2]Material!$D$22</definedName>
    <definedName name="M_Aggregate_Crushable_GradeIII" localSheetId="2">[2]Material!$D$22</definedName>
    <definedName name="M_Aggregate_Crushable_GradeIII">[3]Material!$D$22</definedName>
    <definedName name="M_Aggregate_GradeI_40mmNominal_10_5mm" localSheetId="0">[4]Material!$D$10</definedName>
    <definedName name="M_Aggregate_GradeI_40mmNominal_10_5mm" localSheetId="2">[4]Material!$D$10</definedName>
    <definedName name="M_Aggregate_GradeI_40mmNominal_10_5mm">[3]Material!$D$10</definedName>
    <definedName name="M_Aggregate_GradeI_40mmNominal_25_10mm" localSheetId="0">[4]Material!$D$11</definedName>
    <definedName name="M_Aggregate_GradeI_40mmNominal_25_10mm" localSheetId="2">[4]Material!$D$11</definedName>
    <definedName name="M_Aggregate_GradeI_40mmNominal_25_10mm">[3]Material!$D$11</definedName>
    <definedName name="M_Aggregate_GradeI_40mmNominal_3725_25mm" localSheetId="0">[4]Material!$D$12</definedName>
    <definedName name="M_Aggregate_GradeI_40mmNominal_3725_25mm" localSheetId="2">[4]Material!$D$12</definedName>
    <definedName name="M_Aggregate_GradeI_40mmNominal_3725_25mm">[3]Material!$D$12</definedName>
    <definedName name="M_Aggregate_GradeI_40mmNominal_5mm" localSheetId="0">[4]Material!$D$13</definedName>
    <definedName name="M_Aggregate_GradeI_40mmNominal_5mm" localSheetId="2">[4]Material!$D$13</definedName>
    <definedName name="M_Aggregate_GradeI_40mmNominal_5mm">[3]Material!$D$13</definedName>
    <definedName name="M_Aggregate_GradeI_90_45mm" localSheetId="0">[4]Material!$D$23</definedName>
    <definedName name="M_Aggregate_GradeI_90_45mm" localSheetId="2">[4]Material!$D$23</definedName>
    <definedName name="M_Aggregate_GradeI_90_45mm">[3]Material!$D$23</definedName>
    <definedName name="M_Aggregate_GradeII_19mmNominal_10_5mm" localSheetId="0">[4]Material!$D$14</definedName>
    <definedName name="M_Aggregate_GradeII_19mmNominal_10_5mm" localSheetId="2">[4]Material!$D$14</definedName>
    <definedName name="M_Aggregate_GradeII_19mmNominal_10_5mm">[3]Material!$D$14</definedName>
    <definedName name="M_Aggregate_GradeII_19mmNominal_25_10mm" localSheetId="0">[4]Material!$D$15</definedName>
    <definedName name="M_Aggregate_GradeII_19mmNominal_25_10mm" localSheetId="2">[4]Material!$D$15</definedName>
    <definedName name="M_Aggregate_GradeII_19mmNominal_25_10mm">[3]Material!$D$15</definedName>
    <definedName name="M_Aggregate_GradeII_19mmNominal_5mm_below" localSheetId="0">[4]Material!$D$16</definedName>
    <definedName name="M_Aggregate_GradeII_19mmNominal_5mm_below" localSheetId="2">[4]Material!$D$16</definedName>
    <definedName name="M_Aggregate_GradeII_19mmNominal_5mm_below">[3]Material!$D$16</definedName>
    <definedName name="M_Aggregate_GradeII_63_45mm" localSheetId="0">[4]Material!$D$24</definedName>
    <definedName name="M_Aggregate_GradeII_63_45mm" localSheetId="2">[4]Material!$D$24</definedName>
    <definedName name="M_Aggregate_GradeII_63_45mm">[3]Material!$D$24</definedName>
    <definedName name="M_Aggregate_GradeIII_53_224mm" localSheetId="0">[2]Material!$D$25</definedName>
    <definedName name="M_Aggregate_GradeIII_53_224mm" localSheetId="2">[2]Material!$D$25</definedName>
    <definedName name="M_Aggregate_GradeIII_53_224mm">[3]Material!$D$25</definedName>
    <definedName name="M_AluminiumSheeting_15mm" localSheetId="0">[4]Material!$D$28</definedName>
    <definedName name="M_AluminiumSheeting_15mm" localSheetId="2">[4]Material!$D$28</definedName>
    <definedName name="M_AluminiumSheeting_15mm">[3]Material!$D$28</definedName>
    <definedName name="M_AluminiumStuds_100_100_Lense" localSheetId="0">[4]Material!$D$29</definedName>
    <definedName name="M_AluminiumStuds_100_100_Lense" localSheetId="2">[4]Material!$D$29</definedName>
    <definedName name="M_AluminiumStuds_100_100_Lense">[3]Material!$D$29</definedName>
    <definedName name="M_Bamboo_1stClass_85_100mm_25m_long" localSheetId="0">[4]Material!$D$31</definedName>
    <definedName name="M_Bamboo_1stClass_85_100mm_25m_long" localSheetId="2">[4]Material!$D$31</definedName>
    <definedName name="M_Bamboo_1stClass_85_100mm_25m_long">[3]Material!$D$31</definedName>
    <definedName name="M_Bamboo_1stClass_85_100mm_2m_long" localSheetId="0">[4]Material!$D$30</definedName>
    <definedName name="M_Bamboo_1stClass_85_100mm_2m_long" localSheetId="2">[4]Material!$D$30</definedName>
    <definedName name="M_Bamboo_1stClass_85_100mm_2m_long">[3]Material!$D$30</definedName>
    <definedName name="M_Bamboo_1stClass_85_100mm_3m_long" localSheetId="0">[4]Material!$D$32</definedName>
    <definedName name="M_Bamboo_1stClass_85_100mm_3m_long" localSheetId="2">[4]Material!$D$32</definedName>
    <definedName name="M_Bamboo_1stClass_85_100mm_3m_long">[3]Material!$D$32</definedName>
    <definedName name="M_Bamboo_1stClass_85_100mm_45_55m_long" localSheetId="0">[4]Material!$D$33</definedName>
    <definedName name="M_Bamboo_1stClass_85_100mm_45_55m_long" localSheetId="2">[4]Material!$D$33</definedName>
    <definedName name="M_Bamboo_1stClass_85_100mm_45_55m_long">[3]Material!$D$33</definedName>
    <definedName name="M_Bamboo_2ndClass_75mm_18_25m_long" localSheetId="0">[4]Material!$D$34</definedName>
    <definedName name="M_Bamboo_2ndClass_75mm_18_25m_long" localSheetId="2">[4]Material!$D$34</definedName>
    <definedName name="M_Bamboo_2ndClass_75mm_18_25m_long">[3]Material!$D$34</definedName>
    <definedName name="M_Bamboo_2ndClass_75mm_21_30m_long" localSheetId="0">[4]Material!$D$35</definedName>
    <definedName name="M_Bamboo_2ndClass_75mm_21_30m_long" localSheetId="2">[4]Material!$D$35</definedName>
    <definedName name="M_Bamboo_2ndClass_75mm_21_30m_long">[3]Material!$D$35</definedName>
    <definedName name="M_BarbedWire" localSheetId="0">[4]Material!$D$36</definedName>
    <definedName name="M_BarbedWire" localSheetId="2">[4]Material!$D$36</definedName>
    <definedName name="M_BarbedWire">[3]Material!$D$36</definedName>
    <definedName name="M_BindingMaterial" localSheetId="0">[4]Material!$D$37</definedName>
    <definedName name="M_BindingMaterial" localSheetId="2">[4]Material!$D$37</definedName>
    <definedName name="M_BindingMaterial">[3]Material!$D$37</definedName>
    <definedName name="M_BindingWire" localSheetId="0">[2]Material!$D$38</definedName>
    <definedName name="M_BindingWire" localSheetId="2">[2]Material!$D$38</definedName>
    <definedName name="M_BindingWire">[3]Material!$D$38</definedName>
    <definedName name="M_Bitumen_CRM" localSheetId="0">[4]Material!$D$39</definedName>
    <definedName name="M_Bitumen_CRM" localSheetId="2">[4]Material!$D$39</definedName>
    <definedName name="M_Bitumen_CRM">[3]Material!$D$39</definedName>
    <definedName name="M_Bitumen_NRM" localSheetId="0">[4]Material!$D$40</definedName>
    <definedName name="M_Bitumen_NRM" localSheetId="2">[4]Material!$D$40</definedName>
    <definedName name="M_Bitumen_NRM">[3]Material!$D$40</definedName>
    <definedName name="M_Bitumen_PM" localSheetId="0">[4]Material!$D$41</definedName>
    <definedName name="M_Bitumen_PM" localSheetId="2">[4]Material!$D$41</definedName>
    <definedName name="M_Bitumen_PM">[3]Material!$D$41</definedName>
    <definedName name="M_Bitumen_S65" localSheetId="0">[4]Material!$D$42</definedName>
    <definedName name="M_Bitumen_S65" localSheetId="2">[4]Material!$D$42</definedName>
    <definedName name="M_Bitumen_S65">[3]Material!$D$42</definedName>
    <definedName name="M_Bitumen_S90" localSheetId="0">[2]Material!$D$43</definedName>
    <definedName name="M_Bitumen_S90" localSheetId="2">[2]Material!$D$43</definedName>
    <definedName name="M_Bitumen_S90">[3]Material!$D$43</definedName>
    <definedName name="M_BitumenEmulsion_RS1" localSheetId="0">[2]Material!$D$44</definedName>
    <definedName name="M_BitumenEmulsion_RS1" localSheetId="2">[2]Material!$D$44</definedName>
    <definedName name="M_BitumenEmulsion_RS1">[3]Material!$D$44</definedName>
    <definedName name="M_BitumenEmulsion_SS1" localSheetId="0">[2]Material!$D$45</definedName>
    <definedName name="M_BitumenEmulsion_SS1" localSheetId="2">[2]Material!$D$45</definedName>
    <definedName name="M_BitumenEmulsion_SS1">[3]Material!$D$45</definedName>
    <definedName name="M_BitumenSealant" localSheetId="0">[4]Material!$D$46</definedName>
    <definedName name="M_BitumenSealant" localSheetId="2">[4]Material!$D$46</definedName>
    <definedName name="M_BitumenSealant">[3]Material!$D$46</definedName>
    <definedName name="M_Blasted_Rubble" localSheetId="0">[4]Material!$D$47</definedName>
    <definedName name="M_Blasted_Rubble" localSheetId="2">[4]Material!$D$47</definedName>
    <definedName name="M_Blasted_Rubble">[3]Material!$D$47</definedName>
    <definedName name="M_BlastingMaterial" localSheetId="0">[2]Material!$D$48</definedName>
    <definedName name="M_BlastingMaterial" localSheetId="2">[2]Material!$D$48</definedName>
    <definedName name="M_BlastingMaterial">[3]Material!$D$48</definedName>
    <definedName name="M_BondStone_400_150_150mm" localSheetId="0">[2]Material!$D$49</definedName>
    <definedName name="M_BondStone_400_150_150mm" localSheetId="2">[2]Material!$D$49</definedName>
    <definedName name="M_BondStone_400_150_150mm">[3]Material!$D$49</definedName>
    <definedName name="M_Brick_1stClass" localSheetId="0">[4]Material!$D$50</definedName>
    <definedName name="M_Brick_1stClass" localSheetId="2">[4]Material!$D$50</definedName>
    <definedName name="M_Brick_1stClass">[3]Material!$D$50</definedName>
    <definedName name="M_Cement" localSheetId="0">[2]Material!$D$51</definedName>
    <definedName name="M_Cement" localSheetId="2">[2]Material!$D$51</definedName>
    <definedName name="M_Cement">[3]Material!$D$51</definedName>
    <definedName name="M_CementPrimer" localSheetId="0">[4]Material!$D$52</definedName>
    <definedName name="M_CementPrimer" localSheetId="2">[4]Material!$D$52</definedName>
    <definedName name="M_CementPrimer">[3]Material!$D$52</definedName>
    <definedName name="M_ChlorpreneElastomer_OR_ClosedCellFoamSealingElement" localSheetId="0">[4]Material!$D$53</definedName>
    <definedName name="M_ChlorpreneElastomer_OR_ClosedCellFoamSealingElement" localSheetId="2">[4]Material!$D$53</definedName>
    <definedName name="M_ChlorpreneElastomer_OR_ClosedCellFoamSealingElement">[3]Material!$D$53</definedName>
    <definedName name="M_CompensationForEarthTakenFromPrivateLand" localSheetId="0">[4]Material!$D$54</definedName>
    <definedName name="M_CompensationForEarthTakenFromPrivateLand" localSheetId="2">[4]Material!$D$54</definedName>
    <definedName name="M_CompensationForEarthTakenFromPrivateLand">[3]Material!$D$54</definedName>
    <definedName name="M_CompressibleFibreBoard" localSheetId="0">[4]Material!$D$55</definedName>
    <definedName name="M_CompressibleFibreBoard" localSheetId="2">[4]Material!$D$55</definedName>
    <definedName name="M_CompressibleFibreBoard">[3]Material!$D$55</definedName>
    <definedName name="M_CopperPlate" localSheetId="0">[4]Material!$D$56</definedName>
    <definedName name="M_CopperPlate" localSheetId="2">[4]Material!$D$56</definedName>
    <definedName name="M_CopperPlate">[3]Material!$D$56</definedName>
    <definedName name="M_CorbellingStones_300_150_150mm" localSheetId="0">[4]Material!$D$57</definedName>
    <definedName name="M_CorbellingStones_300_150_150mm" localSheetId="2">[4]Material!$D$57</definedName>
    <definedName name="M_CorbellingStones_300_150_150mm">[3]Material!$D$57</definedName>
    <definedName name="M_CorrosionResistantStructuralSteelGrating" localSheetId="0">[4]Material!$D$58</definedName>
    <definedName name="M_CorrosionResistantStructuralSteelGrating" localSheetId="2">[4]Material!$D$58</definedName>
    <definedName name="M_CorrosionResistantStructuralSteelGrating">[3]Material!$D$58</definedName>
    <definedName name="M_CreditForExcavatedRock" localSheetId="0">[4]Material!$D$59</definedName>
    <definedName name="M_CreditForExcavatedRock" localSheetId="2">[4]Material!$D$59</definedName>
    <definedName name="M_CreditForExcavatedRock">[3]Material!$D$59</definedName>
    <definedName name="M_CrowBars_40mm" localSheetId="0">[4]Material!$D$60</definedName>
    <definedName name="M_CrowBars_40mm" localSheetId="2">[4]Material!$D$60</definedName>
    <definedName name="M_CrowBars_40mm">[3]Material!$D$60</definedName>
    <definedName name="M_CrushedSand_OR_Grit" localSheetId="0">[4]Material!$D$61</definedName>
    <definedName name="M_CrushedSand_OR_Grit" localSheetId="2">[4]Material!$D$61</definedName>
    <definedName name="M_CrushedSand_OR_Grit">[3]Material!$D$61</definedName>
    <definedName name="M_CrushedSlag" localSheetId="0">[4]Material!$D$62</definedName>
    <definedName name="M_CrushedSlag" localSheetId="2">[4]Material!$D$62</definedName>
    <definedName name="M_CrushedSlag">[3]Material!$D$62</definedName>
    <definedName name="M_CrushedStoneAggregate_265_75" localSheetId="0">[4]Material!$D$63</definedName>
    <definedName name="M_CrushedStoneAggregate_265_75" localSheetId="2">[4]Material!$D$63</definedName>
    <definedName name="M_CrushedStoneAggregate_265_75">[3]Material!$D$63</definedName>
    <definedName name="M_CrushedStoneChipping_132" localSheetId="0">[2]Material!$D$64</definedName>
    <definedName name="M_CrushedStoneChipping_132" localSheetId="2">[2]Material!$D$64</definedName>
    <definedName name="M_CrushedStoneChipping_132">[3]Material!$D$64</definedName>
    <definedName name="M_CrushedStoneChipping_67mm_100Passing_112mm" localSheetId="0">[2]Material!$D$65</definedName>
    <definedName name="M_CrushedStoneChipping_67mm_100Passing_112mm" localSheetId="2">[2]Material!$D$65</definedName>
    <definedName name="M_CrushedStoneChipping_67mm_100Passing_112mm">[3]Material!$D$65</definedName>
    <definedName name="M_CrushedStoneChipping_67mm_100Passing_95mm" localSheetId="0">[4]Material!$D$66</definedName>
    <definedName name="M_CrushedStoneChipping_67mm_100Passing_95mm" localSheetId="2">[4]Material!$D$66</definedName>
    <definedName name="M_CrushedStoneChipping_67mm_100Passing_95mm">[3]Material!$D$66</definedName>
    <definedName name="M_CrushedStoneChipping_95" localSheetId="0">[4]Material!$D$67</definedName>
    <definedName name="M_CrushedStoneChipping_95" localSheetId="2">[4]Material!$D$67</definedName>
    <definedName name="M_CrushedStoneChipping_95">[3]Material!$D$67</definedName>
    <definedName name="M_CrushedStoneCoarseAggregatePassing_53mm" localSheetId="0">[4]Material!$D$68</definedName>
    <definedName name="M_CrushedStoneCoarseAggregatePassing_53mm" localSheetId="2">[4]Material!$D$68</definedName>
    <definedName name="M_CrushedStoneCoarseAggregatePassing_53mm">[3]Material!$D$68</definedName>
    <definedName name="M_CuringCompound" localSheetId="0">[4]Material!$D$69</definedName>
    <definedName name="M_CuringCompound" localSheetId="2">[4]Material!$D$69</definedName>
    <definedName name="M_CuringCompound">[3]Material!$D$69</definedName>
    <definedName name="M_DebondingStrips" localSheetId="0">[4]Material!$D$70</definedName>
    <definedName name="M_DebondingStrips" localSheetId="2">[4]Material!$D$70</definedName>
    <definedName name="M_DebondingStrips">[3]Material!$D$70</definedName>
    <definedName name="M_EdgeStone_450_350_100mm" localSheetId="0">[4]Material!$D$71</definedName>
    <definedName name="M_EdgeStone_450_350_100mm" localSheetId="2">[4]Material!$D$71</definedName>
    <definedName name="M_EdgeStone_450_350_100mm">[3]Material!$D$71</definedName>
    <definedName name="M_EdgeStone_450_350_200mm" localSheetId="0">[4]Material!$D$72</definedName>
    <definedName name="M_EdgeStone_450_350_200mm" localSheetId="2">[4]Material!$D$72</definedName>
    <definedName name="M_EdgeStone_450_350_200mm">[3]Material!$D$72</definedName>
    <definedName name="M_ElastomericBearingAssembly" localSheetId="0">[4]Material!$D$73</definedName>
    <definedName name="M_ElastomericBearingAssembly" localSheetId="2">[4]Material!$D$73</definedName>
    <definedName name="M_ElastomericBearingAssembly">[3]Material!$D$73</definedName>
    <definedName name="M_ElectricDetonator" localSheetId="0">[2]Material!$D$74</definedName>
    <definedName name="M_ElectricDetonator" localSheetId="2">[2]Material!$D$74</definedName>
    <definedName name="M_ElectricDetonator">[3]Material!$D$74</definedName>
    <definedName name="M_EpoxyPaint" localSheetId="0">[4]Material!$D$75</definedName>
    <definedName name="M_EpoxyPaint" localSheetId="2">[4]Material!$D$75</definedName>
    <definedName name="M_EpoxyPaint">[3]Material!$D$75</definedName>
    <definedName name="M_EpoxyPrimer" localSheetId="0">#REF!</definedName>
    <definedName name="M_EpoxyPrimer">#REF!</definedName>
    <definedName name="M_FarmyardManure" localSheetId="0">[4]Material!$D$77</definedName>
    <definedName name="M_FarmyardManure" localSheetId="2">[4]Material!$D$77</definedName>
    <definedName name="M_FarmyardManure">[3]Material!$D$77</definedName>
    <definedName name="M_FevicolAdhesive" localSheetId="0">[4]Material!$D$78</definedName>
    <definedName name="M_FevicolAdhesive" localSheetId="2">[4]Material!$D$78</definedName>
    <definedName name="M_FevicolAdhesive">[3]Material!$D$78</definedName>
    <definedName name="M_FilterMedia" localSheetId="0">[4]Material!$D$79</definedName>
    <definedName name="M_FilterMedia" localSheetId="2">[4]Material!$D$79</definedName>
    <definedName name="M_FilterMedia">[3]Material!$D$79</definedName>
    <definedName name="M_FineAggregate_CrushedSand" localSheetId="0">[4]Material!$D$80</definedName>
    <definedName name="M_FineAggregate_CrushedSand" localSheetId="2">[4]Material!$D$80</definedName>
    <definedName name="M_FineAggregate_CrushedSand">[3]Material!$D$80</definedName>
    <definedName name="M_GalvanisedAngle" localSheetId="0">[4]Material!$D$81</definedName>
    <definedName name="M_GalvanisedAngle" localSheetId="2">[4]Material!$D$81</definedName>
    <definedName name="M_GalvanisedAngle">[3]Material!$D$81</definedName>
    <definedName name="M_GalvanisedAngleSection_100_100mm_12mm" localSheetId="0">#REF!</definedName>
    <definedName name="M_GalvanisedAngleSection_100_100mm_12mm">#REF!</definedName>
    <definedName name="M_Gelatine_80" localSheetId="0">[4]Material!$D$83</definedName>
    <definedName name="M_Gelatine_80" localSheetId="2">[4]Material!$D$83</definedName>
    <definedName name="M_Gelatine_80">[3]Material!$D$83</definedName>
    <definedName name="M_GIPipe_100mm" localSheetId="0">[4]Material!$D$84</definedName>
    <definedName name="M_GIPipe_100mm" localSheetId="2">[4]Material!$D$84</definedName>
    <definedName name="M_GIPipe_100mm">[3]Material!$D$84</definedName>
    <definedName name="M_GIPipe_50mm" localSheetId="0">[4]Material!$D$85</definedName>
    <definedName name="M_GIPipe_50mm" localSheetId="2">[4]Material!$D$85</definedName>
    <definedName name="M_GIPipe_50mm">[3]Material!$D$85</definedName>
    <definedName name="M_GIWires" localSheetId="0">[4]Material!$D$86</definedName>
    <definedName name="M_GIWires" localSheetId="2">[4]Material!$D$86</definedName>
    <definedName name="M_GIWires">[3]Material!$D$86</definedName>
    <definedName name="M_GradedStoneAggregate" localSheetId="0">[4]Material!$D$87</definedName>
    <definedName name="M_GradedStoneAggregate" localSheetId="2">[4]Material!$D$87</definedName>
    <definedName name="M_GradedStoneAggregate">[3]Material!$D$87</definedName>
    <definedName name="M_GranularMaterial" localSheetId="0">[2]Material!$D$88</definedName>
    <definedName name="M_GranularMaterial" localSheetId="2">[2]Material!$D$88</definedName>
    <definedName name="M_GranularMaterial">[3]Material!$D$88</definedName>
    <definedName name="M_HandBrokenMetal_40mm" localSheetId="0">[4]Material!$D$89</definedName>
    <definedName name="M_HandBrokenMetal_40mm" localSheetId="2">[4]Material!$D$89</definedName>
    <definedName name="M_HandBrokenMetal_40mm">[3]Material!$D$89</definedName>
    <definedName name="M_Indigo" localSheetId="0">[4]Material!$D$90</definedName>
    <definedName name="M_Indigo" localSheetId="2">[4]Material!$D$90</definedName>
    <definedName name="M_Indigo">[3]Material!$D$90</definedName>
    <definedName name="M_InterlockingBlocks_60mm" localSheetId="0">[4]Material!$D$91</definedName>
    <definedName name="M_InterlockingBlocks_60mm" localSheetId="2">[4]Material!$D$91</definedName>
    <definedName name="M_InterlockingBlocks_60mm">[3]Material!$D$91</definedName>
    <definedName name="M_InterlockingBlocks_80mm" localSheetId="0">[4]Material!$D$92</definedName>
    <definedName name="M_InterlockingBlocks_80mm" localSheetId="2">[4]Material!$D$92</definedName>
    <definedName name="M_InterlockingBlocks_80mm">[3]Material!$D$92</definedName>
    <definedName name="M_JointFillerBoard" localSheetId="0">[4]Material!$D$93</definedName>
    <definedName name="M_JointFillerBoard" localSheetId="2">[4]Material!$D$93</definedName>
    <definedName name="M_JointFillerBoard">[3]Material!$D$93</definedName>
    <definedName name="M_JuteNetting_OpenWeave_25mm" localSheetId="0">[4]Material!$D$94</definedName>
    <definedName name="M_JuteNetting_OpenWeave_25mm" localSheetId="2">[4]Material!$D$94</definedName>
    <definedName name="M_JuteNetting_OpenWeave_25mm">[3]Material!$D$94</definedName>
    <definedName name="M_JuteRope_12mm" localSheetId="0">[4]Material!$D$95</definedName>
    <definedName name="M_JuteRope_12mm" localSheetId="2">[4]Material!$D$95</definedName>
    <definedName name="M_JuteRope_12mm">[3]Material!$D$95</definedName>
    <definedName name="M_KeyAggregatesPassing_224mm" localSheetId="0">[4]Material!$D$96</definedName>
    <definedName name="M_KeyAggregatesPassing_224mm" localSheetId="2">[4]Material!$D$96</definedName>
    <definedName name="M_KeyAggregatesPassing_224mm">[3]Material!$D$96</definedName>
    <definedName name="M_Lime" localSheetId="0">[4]Material!$D$97</definedName>
    <definedName name="M_Lime" localSheetId="2">[4]Material!$D$97</definedName>
    <definedName name="M_Lime">[3]Material!$D$97</definedName>
    <definedName name="M_LimePutty" localSheetId="0">#REF!</definedName>
    <definedName name="M_LimePutty">#REF!</definedName>
    <definedName name="M_LocalWoodPiles_1stClass" localSheetId="0">[4]Material!$D$99</definedName>
    <definedName name="M_LocalWoodPiles_1stClass" localSheetId="2">[4]Material!$D$99</definedName>
    <definedName name="M_LocalWoodPiles_1stClass">[3]Material!$D$99</definedName>
    <definedName name="M_LocalWoodPiles_1stClass_100_75mm" localSheetId="0">[4]Material!$D$100</definedName>
    <definedName name="M_LocalWoodPiles_1stClass_100_75mm" localSheetId="2">[4]Material!$D$100</definedName>
    <definedName name="M_LocalWoodPiles_1stClass_100_75mm">[3]Material!$D$100</definedName>
    <definedName name="M_LooseStone" localSheetId="0">[4]Material!$D$101</definedName>
    <definedName name="M_LooseStone" localSheetId="2">[4]Material!$D$101</definedName>
    <definedName name="M_LooseStone">[3]Material!$D$101</definedName>
    <definedName name="M_MS_Sheet_15mm" localSheetId="0">[4]Material!$D$105</definedName>
    <definedName name="M_MS_Sheet_15mm" localSheetId="2">[4]Material!$D$105</definedName>
    <definedName name="M_MS_Sheet_15mm">[3]Material!$D$105</definedName>
    <definedName name="M_MS_Sheet_2mm" localSheetId="0">[4]Material!$D$106</definedName>
    <definedName name="M_MS_Sheet_2mm" localSheetId="2">[4]Material!$D$106</definedName>
    <definedName name="M_MS_Sheet_2mm">[3]Material!$D$106</definedName>
    <definedName name="M_MSClamps" localSheetId="0">[4]Material!$D$102</definedName>
    <definedName name="M_MSClamps" localSheetId="2">[4]Material!$D$102</definedName>
    <definedName name="M_MSClamps">[3]Material!$D$102</definedName>
    <definedName name="M_MSFlat_StructuralSteel" localSheetId="0">[4]Material!$D$103</definedName>
    <definedName name="M_MSFlat_StructuralSteel" localSheetId="2">[4]Material!$D$103</definedName>
    <definedName name="M_MSFlat_StructuralSteel">[3]Material!$D$103</definedName>
    <definedName name="M_MSSheetTube_47_47mm_12_SWG" localSheetId="0">[4]Material!$D$104</definedName>
    <definedName name="M_MSSheetTube_47_47mm_12_SWG" localSheetId="2">[4]Material!$D$104</definedName>
    <definedName name="M_MSSheetTube_47_47mm_12_SWG">[3]Material!$D$104</definedName>
    <definedName name="M_Nuts_Bolts_Rivets" localSheetId="0">[4]Material!$D$107</definedName>
    <definedName name="M_Nuts_Bolts_Rivets" localSheetId="2">[4]Material!$D$107</definedName>
    <definedName name="M_Nuts_Bolts_Rivets">[3]Material!$D$107</definedName>
    <definedName name="M_Paint_SyntheticEnamel" localSheetId="0">[4]Material!$D$108</definedName>
    <definedName name="M_Paint_SyntheticEnamel" localSheetId="2">[4]Material!$D$108</definedName>
    <definedName name="M_Paint_SyntheticEnamel">[3]Material!$D$108</definedName>
    <definedName name="M_Plasticizer" localSheetId="0">[4]Material!$D$109</definedName>
    <definedName name="M_Plasticizer" localSheetId="2">[4]Material!$D$109</definedName>
    <definedName name="M_Plasticizer">[3]Material!$D$109</definedName>
    <definedName name="M_PolytheneSheet_125" localSheetId="0">[4]Material!$D$110</definedName>
    <definedName name="M_PolytheneSheet_125" localSheetId="2">[4]Material!$D$110</definedName>
    <definedName name="M_PolytheneSheet_125">[3]Material!$D$110</definedName>
    <definedName name="M_PolytheneSheething" localSheetId="0">[4]Material!$D$111</definedName>
    <definedName name="M_PolytheneSheething" localSheetId="2">[4]Material!$D$111</definedName>
    <definedName name="M_PolytheneSheething">[3]Material!$D$111</definedName>
    <definedName name="M_QuarriedStone_150_200mm" localSheetId="0">[4]Material!$D$112</definedName>
    <definedName name="M_QuarriedStone_150_200mm" localSheetId="2">[4]Material!$D$112</definedName>
    <definedName name="M_QuarriedStone_150_200mm">[3]Material!$D$112</definedName>
    <definedName name="M_RCCPipeNP3_1000mm" localSheetId="0">[2]Material!$D$114</definedName>
    <definedName name="M_RCCPipeNP3_1000mm" localSheetId="2">[2]Material!$D$114</definedName>
    <definedName name="M_RCCPipeNP3_1000mm">[3]Material!$D$114</definedName>
    <definedName name="M_RCCPipeNP3_1200mm" localSheetId="0">[4]Material!$D$113</definedName>
    <definedName name="M_RCCPipeNP3_1200mm" localSheetId="2">[4]Material!$D$113</definedName>
    <definedName name="M_RCCPipeNP3_1200mm">[3]Material!$D$113</definedName>
    <definedName name="M_RCCPipeNP3_500mm" localSheetId="0">[2]Material!$D$117</definedName>
    <definedName name="M_RCCPipeNP3_500mm" localSheetId="2">[2]Material!$D$117</definedName>
    <definedName name="M_RCCPipeNP3_500mm">[3]Material!$D$117</definedName>
    <definedName name="M_RCCPipeNP3_600mm" localSheetId="0">#REF!</definedName>
    <definedName name="M_RCCPipeNP3_600mm">#REF!</definedName>
    <definedName name="M_RCCPipeNP3_750mm" localSheetId="0">[4]Material!$D$115</definedName>
    <definedName name="M_RCCPipeNP3_750mm" localSheetId="2">[4]Material!$D$115</definedName>
    <definedName name="M_RCCPipeNP3_750mm">[3]Material!$D$115</definedName>
    <definedName name="M_RCCPipeNP4_1000mm" localSheetId="0">[4]Material!$D$119</definedName>
    <definedName name="M_RCCPipeNP4_1000mm" localSheetId="2">[4]Material!$D$119</definedName>
    <definedName name="M_RCCPipeNP4_1000mm">[3]Material!$D$119</definedName>
    <definedName name="M_RCCPipeNP4_1200mm" localSheetId="0">[4]Material!$D$118</definedName>
    <definedName name="M_RCCPipeNP4_1200mm" localSheetId="2">[4]Material!$D$118</definedName>
    <definedName name="M_RCCPipeNP4_1200mm">[3]Material!$D$118</definedName>
    <definedName name="M_RCCPipeNP4_500mm" localSheetId="0">[4]Material!$D$122</definedName>
    <definedName name="M_RCCPipeNP4_500mm" localSheetId="2">[4]Material!$D$122</definedName>
    <definedName name="M_RCCPipeNP4_500mm">[3]Material!$D$122</definedName>
    <definedName name="M_RCCPipeNP4_750mm" localSheetId="0">[4]Material!$D$120</definedName>
    <definedName name="M_RCCPipeNP4_750mm" localSheetId="2">[4]Material!$D$120</definedName>
    <definedName name="M_RCCPipeNP4_750mm">[3]Material!$D$120</definedName>
    <definedName name="M_RedOxidePrimer" localSheetId="0">[4]Material!$D$123</definedName>
    <definedName name="M_RedOxidePrimer" localSheetId="2">[4]Material!$D$123</definedName>
    <definedName name="M_RedOxidePrimer">[3]Material!$D$123</definedName>
    <definedName name="M_RoadMarkingPaint" localSheetId="0">[4]Material!$D$124</definedName>
    <definedName name="M_RoadMarkingPaint" localSheetId="2">[4]Material!$D$124</definedName>
    <definedName name="M_RoadMarkingPaint">[3]Material!$D$124</definedName>
    <definedName name="M_Sand_Coarse" localSheetId="0">[2]Material!$D$125</definedName>
    <definedName name="M_Sand_Coarse" localSheetId="2">[2]Material!$D$125</definedName>
    <definedName name="M_Sand_Coarse">[3]Material!$D$125</definedName>
    <definedName name="M_Sand_Fine" localSheetId="0">[2]Material!$D$126</definedName>
    <definedName name="M_Sand_Fine" localSheetId="2">[2]Material!$D$126</definedName>
    <definedName name="M_Sand_Fine">[3]Material!$D$126</definedName>
    <definedName name="M_Seeds" localSheetId="0">[4]Material!$D$127</definedName>
    <definedName name="M_Seeds" localSheetId="2">[4]Material!$D$127</definedName>
    <definedName name="M_Seeds">[3]Material!$D$127</definedName>
    <definedName name="M_SteelPipe_500mm" localSheetId="0">[4]Material!$D$128</definedName>
    <definedName name="M_SteelPipe_500mm" localSheetId="2">[4]Material!$D$128</definedName>
    <definedName name="M_SteelPipe_500mm">[3]Material!$D$128</definedName>
    <definedName name="M_SteelReinforcement_HYSDBars" localSheetId="0">[2]Material!$D$129</definedName>
    <definedName name="M_SteelReinforcement_HYSDBars" localSheetId="2">[2]Material!$D$129</definedName>
    <definedName name="M_SteelReinforcement_HYSDBars">[3]Material!$D$129</definedName>
    <definedName name="M_SteelReinforcement_MSRoundBars" localSheetId="0">[4]Material!$D$130</definedName>
    <definedName name="M_SteelReinforcement_MSRoundBars" localSheetId="2">[4]Material!$D$130</definedName>
    <definedName name="M_SteelReinforcement_MSRoundBars">[3]Material!$D$130</definedName>
    <definedName name="M_SteelReinforcement_TMTBars" localSheetId="0">[4]Material!$D$131</definedName>
    <definedName name="M_SteelReinforcement_TMTBars" localSheetId="2">[4]Material!$D$131</definedName>
    <definedName name="M_SteelReinforcement_TMTBars">[3]Material!$D$131</definedName>
    <definedName name="M_StoneBoulder_150mm_below" localSheetId="0">[4]Material!$D$132</definedName>
    <definedName name="M_StoneBoulder_150mm_below" localSheetId="2">[4]Material!$D$132</definedName>
    <definedName name="M_StoneBoulder_150mm_below">[3]Material!$D$132</definedName>
    <definedName name="M_StoneChips_12mm" localSheetId="0">[4]Material!$D$133</definedName>
    <definedName name="M_StoneChips_12mm" localSheetId="2">[4]Material!$D$133</definedName>
    <definedName name="M_StoneChips_12mm">[3]Material!$D$133</definedName>
    <definedName name="M_StoneChips_132_56mm" localSheetId="0">#REF!</definedName>
    <definedName name="M_StoneChips_132_56mm">#REF!</definedName>
    <definedName name="M_StoneCrushedAggregate_112_009mm" localSheetId="0">[4]Material!$D$135</definedName>
    <definedName name="M_StoneCrushedAggregate_112_009mm" localSheetId="2">[4]Material!$D$135</definedName>
    <definedName name="M_StoneCrushedAggregate_112_009mm">[3]Material!$D$135</definedName>
    <definedName name="M_StoneForCoarseRubbleMasonry_1stSort" localSheetId="0">[2]Material!$D$136</definedName>
    <definedName name="M_StoneForCoarseRubbleMasonry_1stSort" localSheetId="2">[2]Material!$D$136</definedName>
    <definedName name="M_StoneForCoarseRubbleMasonry_1stSort">[3]Material!$D$136</definedName>
    <definedName name="M_StoneForCoarseRubbleMasonry_2ndSort" localSheetId="0">[4]Material!$D$137</definedName>
    <definedName name="M_StoneForCoarseRubbleMasonry_2ndSort" localSheetId="2">[4]Material!$D$137</definedName>
    <definedName name="M_StoneForCoarseRubbleMasonry_2ndSort">[3]Material!$D$137</definedName>
    <definedName name="M_StoneForRandomRubbleMasonry" localSheetId="0">[2]Material!$D$138</definedName>
    <definedName name="M_StoneForRandomRubbleMasonry" localSheetId="2">[2]Material!$D$138</definedName>
    <definedName name="M_StoneForRandomRubbleMasonry">[3]Material!$D$138</definedName>
    <definedName name="M_StoneForStoneSetPavement" localSheetId="0">[4]Material!$D$139</definedName>
    <definedName name="M_StoneForStoneSetPavement" localSheetId="2">[4]Material!$D$139</definedName>
    <definedName name="M_StoneForStoneSetPavement">[3]Material!$D$139</definedName>
    <definedName name="M_StoneScreening_TypeA_132mm_Grade1" localSheetId="0">[4]Material!$D$140</definedName>
    <definedName name="M_StoneScreening_TypeA_132mm_Grade1" localSheetId="2">[4]Material!$D$140</definedName>
    <definedName name="M_StoneScreening_TypeA_132mm_Grade1">[3]Material!$D$140</definedName>
    <definedName name="M_StoneScreening_TypeA_132mm_Grade2" localSheetId="0">#REF!</definedName>
    <definedName name="M_StoneScreening_TypeA_132mm_Grade2">#REF!</definedName>
    <definedName name="M_StoneScreening_TypeB_112mm_Grade2" localSheetId="0">[4]Material!$D$142</definedName>
    <definedName name="M_StoneScreening_TypeB_112mm_Grade2" localSheetId="2">[4]Material!$D$142</definedName>
    <definedName name="M_StoneScreening_TypeB_112mm_Grade2">[3]Material!$D$142</definedName>
    <definedName name="M_StoneScreening_TypeB_112mm_Grade3" localSheetId="0">[4]Material!$D$143</definedName>
    <definedName name="M_StoneScreening_TypeB_112mm_Grade3" localSheetId="2">[4]Material!$D$143</definedName>
    <definedName name="M_StoneScreening_TypeB_112mm_Grade3">[3]Material!$D$143</definedName>
    <definedName name="M_StoneSpalls" localSheetId="0">[4]Material!$D$144</definedName>
    <definedName name="M_StoneSpalls" localSheetId="2">[4]Material!$D$144</definedName>
    <definedName name="M_StoneSpalls">[3]Material!$D$144</definedName>
    <definedName name="M_TrafficCones" localSheetId="0">[4]Material!$D$145</definedName>
    <definedName name="M_TrafficCones" localSheetId="2">[4]Material!$D$145</definedName>
    <definedName name="M_TrafficCones">[3]Material!$D$145</definedName>
    <definedName name="M_Water" localSheetId="0">[2]Material!$D$146</definedName>
    <definedName name="M_Water" localSheetId="2">[2]Material!$D$146</definedName>
    <definedName name="M_Water">[3]Material!$D$146</definedName>
    <definedName name="M_WellGradedGranularBaseMaterial_GradeA_236mm" localSheetId="0">[4]Material!$D$147</definedName>
    <definedName name="M_WellGradedGranularBaseMaterial_GradeA_236mm" localSheetId="2">[4]Material!$D$147</definedName>
    <definedName name="M_WellGradedGranularBaseMaterial_GradeA_236mm">[3]Material!$D$147</definedName>
    <definedName name="M_WellGradedGranularBaseMaterial_GradeA_265_475mm" localSheetId="0">[4]Material!$D$148</definedName>
    <definedName name="M_WellGradedGranularBaseMaterial_GradeA_265_475mm" localSheetId="2">[4]Material!$D$148</definedName>
    <definedName name="M_WellGradedGranularBaseMaterial_GradeA_265_475mm">[3]Material!$D$148</definedName>
    <definedName name="M_WellGradedGranularBaseMaterial_GradeA_53_265mm" localSheetId="0">[4]Material!$D$149</definedName>
    <definedName name="M_WellGradedGranularBaseMaterial_GradeA_53_265mm" localSheetId="2">[4]Material!$D$149</definedName>
    <definedName name="M_WellGradedGranularBaseMaterial_GradeA_53_265mm">[3]Material!$D$149</definedName>
    <definedName name="M_WellGradedGranularBaseMaterial_GradeB_236mm_below" localSheetId="0">[4]Material!$D$150</definedName>
    <definedName name="M_WellGradedGranularBaseMaterial_GradeB_236mm_below" localSheetId="2">[4]Material!$D$150</definedName>
    <definedName name="M_WellGradedGranularBaseMaterial_GradeB_236mm_below">[3]Material!$D$150</definedName>
    <definedName name="M_WellGradedGranularBaseMaterial_GradeB_265_475mm" localSheetId="0">[4]Material!$D$151</definedName>
    <definedName name="M_WellGradedGranularBaseMaterial_GradeB_265_475mm" localSheetId="2">[4]Material!$D$151</definedName>
    <definedName name="M_WellGradedGranularBaseMaterial_GradeB_265_475mm">[3]Material!$D$151</definedName>
    <definedName name="M_WellGradedGranularBaseMaterial_GradeC_236mm_below" localSheetId="0">[4]Material!$D$152</definedName>
    <definedName name="M_WellGradedGranularBaseMaterial_GradeC_236mm_below" localSheetId="2">[4]Material!$D$152</definedName>
    <definedName name="M_WellGradedGranularBaseMaterial_GradeC_236mm_below">[3]Material!$D$152</definedName>
    <definedName name="M_WellGradedGranularBaseMaterial_GradeC_95_475mm" localSheetId="0">[4]Material!$D$153</definedName>
    <definedName name="M_WellGradedGranularBaseMaterial_GradeC_95_475mm" localSheetId="2">[4]Material!$D$153</definedName>
    <definedName name="M_WellGradedGranularBaseMaterial_GradeC_95_475mm">[3]Material!$D$153</definedName>
    <definedName name="M_WellGradedMateralForSubbase_GradeI_236mm_below" localSheetId="0">[2]Material!$D$154</definedName>
    <definedName name="M_WellGradedMateralForSubbase_GradeI_236mm_below" localSheetId="2">[2]Material!$D$154</definedName>
    <definedName name="M_WellGradedMateralForSubbase_GradeI_236mm_below">[3]Material!$D$154</definedName>
    <definedName name="M_WellGradedMateralForSubbase_GradeI_53_95mm" localSheetId="0">[2]Material!$D$155</definedName>
    <definedName name="M_WellGradedMateralForSubbase_GradeI_53_95mm" localSheetId="2">[2]Material!$D$155</definedName>
    <definedName name="M_WellGradedMateralForSubbase_GradeI_53_95mm">[3]Material!$D$155</definedName>
    <definedName name="M_WellGradedMateralForSubbase_GradeI_95_236mm" localSheetId="0">[2]Material!$D$156</definedName>
    <definedName name="M_WellGradedMateralForSubbase_GradeI_95_236mm" localSheetId="2">[2]Material!$D$156</definedName>
    <definedName name="M_WellGradedMateralForSubbase_GradeI_95_236mm">[3]Material!$D$156</definedName>
    <definedName name="M_WellGradedMateralForSubbase_GradeII_236mm_below" localSheetId="0">[4]Material!$D$157</definedName>
    <definedName name="M_WellGradedMateralForSubbase_GradeII_236mm_below" localSheetId="2">[4]Material!$D$157</definedName>
    <definedName name="M_WellGradedMateralForSubbase_GradeII_236mm_below">[3]Material!$D$157</definedName>
    <definedName name="M_WellGradedMateralForSubbase_GradeII_265_95mm" localSheetId="0">[4]Material!$D$158</definedName>
    <definedName name="M_WellGradedMateralForSubbase_GradeII_265_95mm" localSheetId="2">[4]Material!$D$158</definedName>
    <definedName name="M_WellGradedMateralForSubbase_GradeII_265_95mm">[3]Material!$D$158</definedName>
    <definedName name="M_WellGradedMateralForSubbase_GradeII_95_236mm" localSheetId="0">[4]Material!$D$159</definedName>
    <definedName name="M_WellGradedMateralForSubbase_GradeII_95_236mm" localSheetId="2">[4]Material!$D$159</definedName>
    <definedName name="M_WellGradedMateralForSubbase_GradeII_95_236mm">[3]Material!$D$159</definedName>
    <definedName name="M_WellGradedMateralForSubbase_GradeIII_236mm_below" localSheetId="0">[4]Material!$D$160</definedName>
    <definedName name="M_WellGradedMateralForSubbase_GradeIII_236mm_below" localSheetId="2">[4]Material!$D$160</definedName>
    <definedName name="M_WellGradedMateralForSubbase_GradeIII_236mm_below">[3]Material!$D$160</definedName>
    <definedName name="M_WellGradedMateralForSubbase_GradeIII_475_236mm" localSheetId="0">[4]Material!$D$161</definedName>
    <definedName name="M_WellGradedMateralForSubbase_GradeIII_475_236mm" localSheetId="2">[4]Material!$D$161</definedName>
    <definedName name="M_WellGradedMateralForSubbase_GradeIII_475_236mm">[3]Material!$D$161</definedName>
    <definedName name="M_WellGradedMateralForSubbase_GradeIII_95_475mm" localSheetId="0">[4]Material!$D$162</definedName>
    <definedName name="M_WellGradedMateralForSubbase_GradeIII_95_475mm" localSheetId="2">[4]Material!$D$162</definedName>
    <definedName name="M_WellGradedMateralForSubbase_GradeIII_95_475mm">[3]Material!$D$162</definedName>
    <definedName name="M_WoodenSleepers" localSheetId="0">[4]Material!$D$163</definedName>
    <definedName name="M_WoodenSleepers" localSheetId="2">[4]Material!$D$163</definedName>
    <definedName name="M_WoodenSleepers">[3]Material!$D$163</definedName>
    <definedName name="Mtr" localSheetId="0">#REF!</definedName>
    <definedName name="Mtr">#REF!</definedName>
    <definedName name="payments_per_year" localSheetId="0">#REF!</definedName>
    <definedName name="payments_per_year">#REF!</definedName>
    <definedName name="PM_AirCompressor_210cfm" localSheetId="0">'[2]Plant &amp;  Machinery'!$G$4</definedName>
    <definedName name="PM_AirCompressor_210cfm" localSheetId="2">'[2]Plant &amp;  Machinery'!$G$4</definedName>
    <definedName name="PM_AirCompressor_210cfm">'[3]Plant &amp;  Machinery'!$G$4</definedName>
    <definedName name="PM_BatchMixHMP_46_60THP" localSheetId="0">'[4]Plant &amp;  Machinery'!$G$5</definedName>
    <definedName name="PM_BatchMixHMP_46_60THP" localSheetId="2">'[4]Plant &amp;  Machinery'!$G$5</definedName>
    <definedName name="PM_BatchMixHMP_46_60THP">'[3]Plant &amp;  Machinery'!$G$5</definedName>
    <definedName name="PM_BatchTypeHMP_30_40" localSheetId="0">'[2]Plant &amp;  Machinery'!$G$6</definedName>
    <definedName name="PM_BatchTypeHMP_30_40" localSheetId="2">'[2]Plant &amp;  Machinery'!$G$6</definedName>
    <definedName name="PM_BatchTypeHMP_30_40">'[3]Plant &amp;  Machinery'!$G$6</definedName>
    <definedName name="PM_BitumenBoilerOilFired_1000" localSheetId="0">'[4]Plant &amp;  Machinery'!$G$9</definedName>
    <definedName name="PM_BitumenBoilerOilFired_1000" localSheetId="2">'[4]Plant &amp;  Machinery'!$G$9</definedName>
    <definedName name="PM_BitumenBoilerOilFired_1000">'[3]Plant &amp;  Machinery'!$G$9</definedName>
    <definedName name="PM_BitumenBoilerOilFired_200" localSheetId="0">'[4]Plant &amp;  Machinery'!$G$8</definedName>
    <definedName name="PM_BitumenBoilerOilFired_200" localSheetId="2">'[4]Plant &amp;  Machinery'!$G$8</definedName>
    <definedName name="PM_BitumenBoilerOilFired_200">'[3]Plant &amp;  Machinery'!$G$8</definedName>
    <definedName name="PM_BitumenEmulsionPressureDistributor" localSheetId="0">'[2]Plant &amp;  Machinery'!$G$10</definedName>
    <definedName name="PM_BitumenEmulsionPressureDistributor" localSheetId="2">'[2]Plant &amp;  Machinery'!$G$10</definedName>
    <definedName name="PM_BitumenEmulsionPressureDistributor">'[3]Plant &amp;  Machinery'!$G$10</definedName>
    <definedName name="PM_ConcreteMixer" localSheetId="0">'[2]Plant &amp;  Machinery'!$G$11</definedName>
    <definedName name="PM_ConcreteMixer" localSheetId="2">'[2]Plant &amp;  Machinery'!$G$11</definedName>
    <definedName name="PM_ConcreteMixer">'[3]Plant &amp;  Machinery'!$G$11</definedName>
    <definedName name="PM_Crane" localSheetId="0">'[4]Plant &amp;  Machinery'!$G$12</definedName>
    <definedName name="PM_Crane" localSheetId="2">'[4]Plant &amp;  Machinery'!$G$12</definedName>
    <definedName name="PM_Crane">'[3]Plant &amp;  Machinery'!$G$12</definedName>
    <definedName name="PM_Dozer_D50" localSheetId="0">'[2]Plant &amp;  Machinery'!$G$13</definedName>
    <definedName name="PM_Dozer_D50" localSheetId="2">'[2]Plant &amp;  Machinery'!$G$13</definedName>
    <definedName name="PM_Dozer_D50">'[3]Plant &amp;  Machinery'!$G$13</definedName>
    <definedName name="PM_Dozer_D50_1" localSheetId="0">#REF!</definedName>
    <definedName name="PM_Dozer_D50_1">#REF!</definedName>
    <definedName name="PM_ElectricGeneratorSet_125" localSheetId="0">'[2]Plant &amp;  Machinery'!$G$15</definedName>
    <definedName name="PM_ElectricGeneratorSet_125" localSheetId="2">'[2]Plant &amp;  Machinery'!$G$15</definedName>
    <definedName name="PM_ElectricGeneratorSet_125">'[3]Plant &amp;  Machinery'!$G$15</definedName>
    <definedName name="PM_EmulsionSprayer" localSheetId="0">#REF!</definedName>
    <definedName name="PM_EmulsionSprayer">#REF!</definedName>
    <definedName name="PM_FrontEndLoader_1cum" localSheetId="0">'[2]Plant &amp;  Machinery'!$G$17</definedName>
    <definedName name="PM_FrontEndLoader_1cum" localSheetId="2">'[2]Plant &amp;  Machinery'!$G$17</definedName>
    <definedName name="PM_FrontEndLoader_1cum">'[3]Plant &amp;  Machinery'!$G$17</definedName>
    <definedName name="PM_FrontEndLoader_1cum_Soil" localSheetId="0">#REF!</definedName>
    <definedName name="PM_FrontEndLoader_1cum_Soil">#REF!</definedName>
    <definedName name="PM_HydraulicBroom" localSheetId="0">'[2]Plant &amp;  Machinery'!$G$19</definedName>
    <definedName name="PM_HydraulicBroom" localSheetId="2">'[2]Plant &amp;  Machinery'!$G$19</definedName>
    <definedName name="PM_HydraulicBroom">'[3]Plant &amp;  Machinery'!$G$19</definedName>
    <definedName name="PM_HydraulicExcavator_09cum" localSheetId="0">'[2]Plant &amp;  Machinery'!$G$20</definedName>
    <definedName name="PM_HydraulicExcavator_09cum" localSheetId="2">'[2]Plant &amp;  Machinery'!$G$20</definedName>
    <definedName name="PM_HydraulicExcavator_09cum">'[3]Plant &amp;  Machinery'!$G$20</definedName>
    <definedName name="PM_HydraulicSelfPropelledChipSpreader" localSheetId="0">'[2]Plant &amp;  Machinery'!$G$21</definedName>
    <definedName name="PM_HydraulicSelfPropelledChipSpreader" localSheetId="2">'[2]Plant &amp;  Machinery'!$G$21</definedName>
    <definedName name="PM_HydraulicSelfPropelledChipSpreader">'[3]Plant &amp;  Machinery'!$G$21</definedName>
    <definedName name="PM_JackHammer" localSheetId="0">'[4]Plant &amp;  Machinery'!$G$22</definedName>
    <definedName name="PM_JackHammer" localSheetId="2">'[4]Plant &amp;  Machinery'!$G$22</definedName>
    <definedName name="PM_JackHammer">'[3]Plant &amp;  Machinery'!$G$22</definedName>
    <definedName name="PM_JointCuttingMachine" localSheetId="0">'[4]Plant &amp;  Machinery'!$G$23</definedName>
    <definedName name="PM_JointCuttingMachine" localSheetId="2">'[4]Plant &amp;  Machinery'!$G$23</definedName>
    <definedName name="PM_JointCuttingMachine">'[3]Plant &amp;  Machinery'!$G$23</definedName>
    <definedName name="PM_Mixall_6_10t" localSheetId="0">'[4]Plant &amp;  Machinery'!$G$24</definedName>
    <definedName name="PM_Mixall_6_10t" localSheetId="2">'[4]Plant &amp;  Machinery'!$G$24</definedName>
    <definedName name="PM_Mixall_6_10t">'[3]Plant &amp;  Machinery'!$G$24</definedName>
    <definedName name="PM_MotorGrader" localSheetId="0">'[2]Plant &amp;  Machinery'!$G$25</definedName>
    <definedName name="PM_MotorGrader" localSheetId="2">'[2]Plant &amp;  Machinery'!$G$25</definedName>
    <definedName name="PM_MotorGrader">'[3]Plant &amp;  Machinery'!$G$25</definedName>
    <definedName name="PM_MotorGrader_1" localSheetId="0">#REF!</definedName>
    <definedName name="PM_MotorGrader_1">#REF!</definedName>
    <definedName name="PM_NeedleVibrator" localSheetId="0">'[4]Plant &amp;  Machinery'!$G$27</definedName>
    <definedName name="PM_NeedleVibrator" localSheetId="2">'[4]Plant &amp;  Machinery'!$G$27</definedName>
    <definedName name="PM_NeedleVibrator">'[3]Plant &amp;  Machinery'!$G$27</definedName>
    <definedName name="PM_PaverFinisher" localSheetId="0">'[2]Plant &amp;  Machinery'!$G$28</definedName>
    <definedName name="PM_PaverFinisher" localSheetId="2">'[2]Plant &amp;  Machinery'!$G$28</definedName>
    <definedName name="PM_PaverFinisher">'[3]Plant &amp;  Machinery'!$G$28</definedName>
    <definedName name="PM_PlateCompactor" localSheetId="0">'[4]Plant &amp;  Machinery'!$G$29</definedName>
    <definedName name="PM_PlateCompactor" localSheetId="2">'[4]Plant &amp;  Machinery'!$G$29</definedName>
    <definedName name="PM_PlateCompactor">'[3]Plant &amp;  Machinery'!$G$29</definedName>
    <definedName name="PM_PlateVibrator" localSheetId="0">'[4]Plant &amp;  Machinery'!$G$30</definedName>
    <definedName name="PM_PlateVibrator" localSheetId="2">'[4]Plant &amp;  Machinery'!$G$30</definedName>
    <definedName name="PM_PlateVibrator">'[3]Plant &amp;  Machinery'!$G$30</definedName>
    <definedName name="PM_ScreedVibrator" localSheetId="0">'[4]Plant &amp;  Machinery'!$G$31</definedName>
    <definedName name="PM_ScreedVibrator" localSheetId="2">'[4]Plant &amp;  Machinery'!$G$31</definedName>
    <definedName name="PM_ScreedVibrator">'[3]Plant &amp;  Machinery'!$G$31</definedName>
    <definedName name="PM_SmoothWheeled_80_100kN_TandemRoller" localSheetId="0">#REF!</definedName>
    <definedName name="PM_SmoothWheeled_80_100kN_TandemRoller">#REF!</definedName>
    <definedName name="PM_StoneCrusher_200TPH" localSheetId="0">'[4]Plant &amp;  Machinery'!$G$33</definedName>
    <definedName name="PM_StoneCrusher_200TPH" localSheetId="2">'[4]Plant &amp;  Machinery'!$G$33</definedName>
    <definedName name="PM_StoneCrusher_200TPH">'[3]Plant &amp;  Machinery'!$G$33</definedName>
    <definedName name="PM_ThreeWheeled_80_100kN_StaticRoller" localSheetId="0">'[2]Plant &amp;  Machinery'!$G$34</definedName>
    <definedName name="PM_ThreeWheeled_80_100kN_StaticRoller" localSheetId="2">'[2]Plant &amp;  Machinery'!$G$34</definedName>
    <definedName name="PM_ThreeWheeled_80_100kN_StaticRoller">'[3]Plant &amp;  Machinery'!$G$34</definedName>
    <definedName name="PM_Tipper_55" localSheetId="0">'[2]Plant &amp;  Machinery'!$G$45</definedName>
    <definedName name="PM_Tipper_55" localSheetId="2">'[2]Plant &amp;  Machinery'!$G$45</definedName>
    <definedName name="PM_Tipper_55">'[3]Plant &amp;  Machinery'!$G$45</definedName>
    <definedName name="PM_Tractor_DiscHarrows" localSheetId="0">'[4]Plant &amp;  Machinery'!$G$46</definedName>
    <definedName name="PM_Tractor_DiscHarrows" localSheetId="2">'[4]Plant &amp;  Machinery'!$G$46</definedName>
    <definedName name="PM_Tractor_DiscHarrows">'[3]Plant &amp;  Machinery'!$G$46</definedName>
    <definedName name="PM_Tractor_Ripper" localSheetId="0">'[4]Plant &amp;  Machinery'!$G$47</definedName>
    <definedName name="PM_Tractor_Ripper" localSheetId="2">'[4]Plant &amp;  Machinery'!$G$47</definedName>
    <definedName name="PM_Tractor_Ripper">'[3]Plant &amp;  Machinery'!$G$47</definedName>
    <definedName name="PM_Tractor_Rotavator" localSheetId="0">'[2]Plant &amp;  Machinery'!$G$49</definedName>
    <definedName name="PM_Tractor_Rotavator" localSheetId="2">'[2]Plant &amp;  Machinery'!$G$49</definedName>
    <definedName name="PM_Tractor_Rotavator">'[3]Plant &amp;  Machinery'!$G$49</definedName>
    <definedName name="PM_Tractor_Trolley" localSheetId="0">'[2]Plant &amp;  Machinery'!$G$48</definedName>
    <definedName name="PM_Tractor_Trolley" localSheetId="2">'[2]Plant &amp;  Machinery'!$G$48</definedName>
    <definedName name="PM_Tractor_Trolley">'[3]Plant &amp;  Machinery'!$G$48</definedName>
    <definedName name="PM_Truck" localSheetId="0">'[4]Plant &amp;  Machinery'!$G$50</definedName>
    <definedName name="PM_Truck" localSheetId="2">'[4]Plant &amp;  Machinery'!$G$50</definedName>
    <definedName name="PM_Truck">'[3]Plant &amp;  Machinery'!$G$50</definedName>
    <definedName name="PM_VibratoryRoller_80_100kN" localSheetId="0">'[4]Plant &amp;  Machinery'!$G$51</definedName>
    <definedName name="PM_VibratoryRoller_80_100kN" localSheetId="2">'[4]Plant &amp;  Machinery'!$G$51</definedName>
    <definedName name="PM_VibratoryRoller_80_100kN">'[3]Plant &amp;  Machinery'!$G$51</definedName>
    <definedName name="PM_VibratoryRoller_80_100kN_1" localSheetId="0">#REF!</definedName>
    <definedName name="PM_VibratoryRoller_80_100kN_1">#REF!</definedName>
    <definedName name="PM_WaterTanker_6kl" localSheetId="0">'[2]Plant &amp;  Machinery'!$G$53</definedName>
    <definedName name="PM_WaterTanker_6kl" localSheetId="2">'[2]Plant &amp;  Machinery'!$G$53</definedName>
    <definedName name="PM_WaterTanker_6kl">'[3]Plant &amp;  Machinery'!$G$53</definedName>
    <definedName name="PM_WetMixPlant_or_PugMill" localSheetId="0">'[4]Plant &amp;  Machinery'!$G$54</definedName>
    <definedName name="PM_WetMixPlant_or_PugMill" localSheetId="2">'[4]Plant &amp;  Machinery'!$G$54</definedName>
    <definedName name="PM_WetMixPlant_or_PugMill">'[3]Plant &amp;  Machinery'!$G$54</definedName>
    <definedName name="_xlnm.Print_Area" localSheetId="0">bar!$A$1:$N$20</definedName>
    <definedName name="_xlnm.Print_Area" localSheetId="2">pwd!$A$1:$N$23</definedName>
    <definedName name="_xlnm.Print_Titles" localSheetId="0">bar!$6:$8</definedName>
    <definedName name="_xlnm.Print_Titles" localSheetId="2">pwd!$6:$8</definedName>
    <definedName name="sadf">[5]Estimate!$C$5</definedName>
    <definedName name="Sqm" localSheetId="0">#REF!</definedName>
    <definedName name="Sqm">#REF!</definedName>
    <definedName name="start_date" localSheetId="0">#REF!</definedName>
    <definedName name="start_date">#REF!</definedName>
    <definedName name="years" localSheetId="0">#REF!</definedName>
    <definedName name="years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4" i="4" l="1"/>
  <c r="G10" i="4"/>
  <c r="E14" i="4" l="1"/>
  <c r="E10" i="4"/>
  <c r="C10" i="4"/>
  <c r="F10" i="4" s="1"/>
  <c r="C14" i="4" l="1"/>
  <c r="F14" i="4" s="1"/>
  <c r="H10" i="4"/>
  <c r="H14" i="4"/>
  <c r="J14" i="4" l="1"/>
  <c r="K14" i="4"/>
  <c r="K10" i="4"/>
  <c r="J10" i="4"/>
  <c r="M10" i="4" s="1"/>
  <c r="N10" i="4" s="1"/>
  <c r="H10" i="1"/>
  <c r="A12" i="3"/>
  <c r="M14" i="4" l="1"/>
  <c r="N14" i="4"/>
  <c r="N17" i="4" s="1"/>
  <c r="N19" i="4" s="1"/>
  <c r="K10" i="1"/>
  <c r="J10" i="1"/>
  <c r="M10" i="1" l="1"/>
  <c r="N10" i="1" s="1"/>
  <c r="H14" i="1"/>
  <c r="K14" i="1" l="1"/>
  <c r="J14" i="1"/>
  <c r="N17" i="1" l="1"/>
  <c r="N19" i="1" s="1"/>
  <c r="M14" i="1"/>
  <c r="N14" i="1"/>
</calcChain>
</file>

<file path=xl/sharedStrings.xml><?xml version="1.0" encoding="utf-8"?>
<sst xmlns="http://schemas.openxmlformats.org/spreadsheetml/2006/main" count="96" uniqueCount="52">
  <si>
    <t>S.
No.</t>
  </si>
  <si>
    <t xml:space="preserve">Component </t>
  </si>
  <si>
    <t xml:space="preserve">COST OF CONSTRUCTION </t>
  </si>
  <si>
    <t>Total 
(G to K)</t>
  </si>
  <si>
    <t>Quality control 1%  of (L)</t>
  </si>
  <si>
    <t xml:space="preserve">Cost
in Lacs </t>
  </si>
  <si>
    <t>Total (E+F)</t>
  </si>
  <si>
    <t>A</t>
  </si>
  <si>
    <t>B</t>
  </si>
  <si>
    <t>C</t>
  </si>
  <si>
    <t>D</t>
  </si>
  <si>
    <t>E</t>
  </si>
  <si>
    <t>F</t>
  </si>
  <si>
    <t>G</t>
  </si>
  <si>
    <t>L</t>
  </si>
  <si>
    <t>M</t>
  </si>
  <si>
    <t>N</t>
  </si>
  <si>
    <t>O</t>
  </si>
  <si>
    <t>P</t>
  </si>
  <si>
    <t>Q</t>
  </si>
  <si>
    <t>-</t>
  </si>
  <si>
    <t>Internal Services
26.50%</t>
  </si>
  <si>
    <t>Unit</t>
  </si>
  <si>
    <t xml:space="preserve">Assistant Engineer </t>
  </si>
  <si>
    <t>NAME OF DISTRICT :- BANSWARA</t>
  </si>
  <si>
    <t>PUBLIC WORKS DEPARTMENT</t>
  </si>
  <si>
    <t>GOVERNMENT OF RAJASTHAN</t>
  </si>
  <si>
    <t xml:space="preserve">FORECAST  ESTIMATE  </t>
  </si>
  <si>
    <t xml:space="preserve">Executive Engineer </t>
  </si>
  <si>
    <t xml:space="preserve">Qty.
/Km. </t>
  </si>
  <si>
    <t>Total (L+M+N)</t>
  </si>
  <si>
    <t>Prorata 13% of (O)</t>
  </si>
  <si>
    <t>Grand Total (O+P)
In Lacs</t>
  </si>
  <si>
    <t xml:space="preserve">SAY :-  </t>
  </si>
  <si>
    <t>NAME OF CONSTITUENCY :- GARHI</t>
  </si>
  <si>
    <t>Sq M</t>
  </si>
  <si>
    <t xml:space="preserve">Rate </t>
  </si>
  <si>
    <t>Contigencies @ , 1.5% of (L)</t>
  </si>
  <si>
    <t xml:space="preserve">Grand Total </t>
  </si>
  <si>
    <t>NAME OF BLOCK :- ARTHUNA</t>
  </si>
  <si>
    <t>OFFICE OF THE EXECUTIVE ENGINEER P.W.D. DIVISION - BANSWARA</t>
  </si>
  <si>
    <t>Name of works :-  Forecast Estimate for Construction of Bar Association Library and Meeting Hall , Banswara</t>
  </si>
  <si>
    <t>Ground Floor</t>
  </si>
  <si>
    <t>First Floor</t>
  </si>
  <si>
    <t>Bar Office, President and Secretary Chamber, Meeting Hall</t>
  </si>
  <si>
    <t xml:space="preserve">Library </t>
  </si>
  <si>
    <t>PWD Sub Dn. Banswara</t>
  </si>
  <si>
    <t>PWD Division Banswara</t>
  </si>
  <si>
    <t>4427.50 Sq Ft</t>
  </si>
  <si>
    <t>BAR ASSOCIATION BANSWARA</t>
  </si>
  <si>
    <t>Internal Services
15%</t>
  </si>
  <si>
    <t>Rate Rs. 1825 per sq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</si>
</sst>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&quot;Sqm.&quot;"/>
    <numFmt numFmtId="165" formatCode="&quot;2 x &quot;"/>
    <numFmt numFmtId="166" formatCode="#,##0.0000_);\(#,##0.0000\)"/>
    <numFmt numFmtId="167" formatCode="_-* #,##0\ &quot;F&quot;_-;\-* #,##0\ &quot;F&quot;_-;_-* &quot;-&quot;\ &quot;F&quot;_-;_-@_-"/>
    <numFmt numFmtId="168" formatCode="0.00000_)"/>
    <numFmt numFmtId="169" formatCode="_-* #,##0\ _F_-;\-* #,##0\ _F_-;_-* &quot;-&quot;\ _F_-;_-@_-"/>
    <numFmt numFmtId="170" formatCode="0.00;[Red]0.00"/>
    <numFmt numFmtId="171" formatCode="#,##0.00\ &quot;R.Mtr/Sqm.&quot;"/>
    <numFmt numFmtId="172" formatCode="#,##0.00\ &quot;Kg/Mtr.&quot;"/>
    <numFmt numFmtId="173" formatCode="&quot;ESTIMATED COST :- RS&quot;\ 0.00\ &quot;Lacs&quot;"/>
  </numFmts>
  <fonts count="48">
    <font>
      <sz val="10"/>
      <name val="Arial"/>
    </font>
    <font>
      <sz val="10"/>
      <name val="Arial"/>
      <family val="2"/>
    </font>
    <font>
      <sz val="18"/>
      <name val="Arial"/>
      <family val="2"/>
    </font>
    <font>
      <b/>
      <sz val="15"/>
      <name val="Times New Roman"/>
      <family val="1"/>
    </font>
    <font>
      <b/>
      <sz val="8"/>
      <name val="Arial"/>
      <family val="2"/>
    </font>
    <font>
      <b/>
      <sz val="9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4"/>
      <name val="AngsanaUPC"/>
      <family val="1"/>
    </font>
    <font>
      <sz val="10"/>
      <name val="Times New Roman"/>
      <family val="1"/>
    </font>
    <font>
      <sz val="11"/>
      <name val="Bookman Old Style"/>
      <family val="1"/>
    </font>
    <font>
      <sz val="12"/>
      <name val="¹ÙÅÁÃ¼"/>
      <charset val="129"/>
    </font>
    <font>
      <sz val="14"/>
      <name val="Arial"/>
      <family val="2"/>
    </font>
    <font>
      <sz val="8"/>
      <name val="Arial Cyr"/>
      <charset val="204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Bookman Old Style"/>
      <family val="1"/>
    </font>
    <font>
      <sz val="10"/>
      <name val="Arial Narrow"/>
      <family val="2"/>
    </font>
    <font>
      <b/>
      <sz val="16"/>
      <name val="Bookman Old Style"/>
      <family val="1"/>
    </font>
    <font>
      <sz val="12"/>
      <name val="Bookman Old Style"/>
      <family val="1"/>
    </font>
    <font>
      <b/>
      <sz val="10"/>
      <name val="Bookman Old Style"/>
      <family val="1"/>
    </font>
    <font>
      <sz val="10"/>
      <name val="Book Antiqua"/>
      <family val="1"/>
    </font>
    <font>
      <b/>
      <sz val="2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1"/>
      <color indexed="8"/>
      <name val="Calibri"/>
      <family val="2"/>
      <charset val="1"/>
    </font>
    <font>
      <sz val="11"/>
      <name val="Book Antiqua"/>
      <family val="1"/>
    </font>
    <font>
      <b/>
      <sz val="18"/>
      <color indexed="62"/>
      <name val="Cambria"/>
      <family val="2"/>
    </font>
    <font>
      <b/>
      <sz val="20"/>
      <name val="Bookman Old Style"/>
      <family val="1"/>
    </font>
    <font>
      <b/>
      <u/>
      <sz val="35"/>
      <name val="Book Antiqu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2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7"/>
      <name val="Times New Roman"/>
      <family val="1"/>
    </font>
    <font>
      <sz val="12"/>
      <name val="Arial"/>
      <family val="2"/>
    </font>
    <font>
      <b/>
      <u/>
      <sz val="14"/>
      <name val="Times New Roman"/>
      <family val="1"/>
    </font>
    <font>
      <b/>
      <u/>
      <sz val="12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91">
    <xf numFmtId="0" fontId="0" fillId="0" borderId="0"/>
    <xf numFmtId="164" fontId="12" fillId="0" borderId="0">
      <alignment horizontal="center" vertical="top" wrapText="1"/>
    </xf>
    <xf numFmtId="165" fontId="12" fillId="0" borderId="0" applyFont="0" applyBorder="0">
      <alignment horizontal="center" vertical="center" wrapText="1"/>
    </xf>
    <xf numFmtId="9" fontId="13" fillId="0" borderId="0"/>
    <xf numFmtId="0" fontId="1" fillId="0" borderId="0" applyBorder="0">
      <alignment horizontal="center" textRotation="90" wrapText="1"/>
    </xf>
    <xf numFmtId="0" fontId="12" fillId="0" borderId="0" applyFont="0" applyBorder="0">
      <alignment horizontal="center" vertical="center" textRotation="90"/>
    </xf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0" fontId="1" fillId="0" borderId="0">
      <alignment horizontal="right"/>
    </xf>
    <xf numFmtId="0" fontId="14" fillId="0" borderId="0" applyNumberFormat="0" applyFont="0">
      <alignment horizontal="center" vertical="center" wrapText="1"/>
    </xf>
    <xf numFmtId="0" fontId="1" fillId="0" borderId="0" applyFont="0" applyBorder="0">
      <alignment horizontal="center" vertical="center" wrapText="1"/>
    </xf>
    <xf numFmtId="0" fontId="15" fillId="0" borderId="1" applyFont="0" applyBorder="0">
      <alignment horizontal="center" vertical="center" wrapText="1"/>
    </xf>
    <xf numFmtId="0" fontId="16" fillId="0" borderId="0"/>
    <xf numFmtId="0" fontId="4" fillId="0" borderId="1" applyFont="0" applyBorder="0">
      <alignment horizontal="center" vertical="center" wrapText="1"/>
    </xf>
    <xf numFmtId="44" fontId="12" fillId="0" borderId="0" applyFont="0" applyFill="0" applyBorder="0" applyAlignment="0" applyProtection="0"/>
    <xf numFmtId="0" fontId="1" fillId="0" borderId="0">
      <alignment horizontal="center" textRotation="90" wrapText="1"/>
    </xf>
    <xf numFmtId="0" fontId="10" fillId="0" borderId="2" applyNumberFormat="0" applyAlignment="0" applyProtection="0">
      <alignment horizontal="left" vertical="center"/>
    </xf>
    <xf numFmtId="0" fontId="10" fillId="0" borderId="3">
      <alignment horizontal="left" vertical="center"/>
    </xf>
    <xf numFmtId="2" fontId="12" fillId="0" borderId="4" applyFont="0" applyBorder="0">
      <alignment horizontal="justify" vertical="top" wrapText="1"/>
    </xf>
    <xf numFmtId="171" fontId="12" fillId="0" borderId="0">
      <alignment horizontal="center" vertical="top" wrapText="1"/>
    </xf>
    <xf numFmtId="0" fontId="12" fillId="0" borderId="5" applyFont="0" applyBorder="0">
      <alignment horizontal="left" vertical="top" wrapText="1" indent="5"/>
    </xf>
    <xf numFmtId="0" fontId="1" fillId="0" borderId="0">
      <alignment horizontal="left" indent="3"/>
    </xf>
    <xf numFmtId="0" fontId="17" fillId="0" borderId="6" applyBorder="0">
      <alignment horizontal="center" vertical="center" wrapText="1"/>
    </xf>
    <xf numFmtId="1" fontId="10" fillId="0" borderId="6" applyFont="0" applyBorder="0">
      <alignment horizontal="left" vertical="center" wrapText="1"/>
    </xf>
    <xf numFmtId="0" fontId="12" fillId="0" borderId="0"/>
    <xf numFmtId="0" fontId="1" fillId="0" borderId="0" applyFont="0" applyBorder="0"/>
    <xf numFmtId="9" fontId="18" fillId="0" borderId="0" applyFont="0" applyFill="0" applyBorder="0" applyAlignment="0" applyProtection="0"/>
    <xf numFmtId="172" fontId="12" fillId="0" borderId="0">
      <alignment horizontal="right" vertical="top" wrapText="1"/>
    </xf>
    <xf numFmtId="0" fontId="19" fillId="0" borderId="0"/>
    <xf numFmtId="0" fontId="20" fillId="0" borderId="0">
      <alignment vertical="top"/>
    </xf>
    <xf numFmtId="0" fontId="7" fillId="0" borderId="1" applyNumberFormat="0" applyFont="0">
      <alignment vertical="top" wrapText="1"/>
    </xf>
    <xf numFmtId="0" fontId="1" fillId="0" borderId="0" applyFont="0">
      <alignment horizontal="justify" vertical="top" wrapText="1"/>
    </xf>
    <xf numFmtId="0" fontId="21" fillId="0" borderId="1" applyFont="0" applyBorder="0">
      <alignment horizontal="justify" vertical="top" wrapText="1" shrinkToFit="1"/>
    </xf>
    <xf numFmtId="1" fontId="22" fillId="0" borderId="7" applyNumberFormat="0" applyFont="0" applyBorder="0">
      <alignment horizontal="center" vertical="top" wrapText="1"/>
    </xf>
    <xf numFmtId="0" fontId="1" fillId="0" borderId="0"/>
    <xf numFmtId="0" fontId="1" fillId="0" borderId="0"/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164" fontId="1" fillId="0" borderId="0">
      <alignment horizontal="center" vertical="top" wrapText="1"/>
    </xf>
    <xf numFmtId="0" fontId="1" fillId="0" borderId="0" applyBorder="0">
      <alignment horizontal="center" textRotation="90" wrapText="1"/>
    </xf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28" fillId="4" borderId="0" applyNumberFormat="0" applyBorder="0" applyAlignment="0" applyProtection="0"/>
    <xf numFmtId="0" fontId="28" fillId="7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8" borderId="0" applyNumberFormat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9" borderId="0" applyNumberFormat="0" applyBorder="0" applyAlignment="0" applyProtection="0"/>
    <xf numFmtId="0" fontId="29" fillId="9" borderId="0" applyNumberFormat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1" fillId="0" borderId="0">
      <alignment horizontal="center" textRotation="90" wrapText="1"/>
    </xf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15" applyNumberFormat="0">
      <alignment horizontal="right"/>
    </xf>
    <xf numFmtId="0" fontId="1" fillId="0" borderId="0"/>
    <xf numFmtId="0" fontId="1" fillId="0" borderId="0"/>
    <xf numFmtId="0" fontId="1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  <xf numFmtId="0" fontId="1" fillId="0" borderId="0"/>
    <xf numFmtId="0" fontId="28" fillId="0" borderId="0"/>
    <xf numFmtId="0" fontId="28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28" fillId="0" borderId="0">
      <protection locked="0"/>
    </xf>
    <xf numFmtId="0" fontId="1" fillId="0" borderId="0">
      <protection locked="0"/>
    </xf>
    <xf numFmtId="0" fontId="28" fillId="0" borderId="0"/>
    <xf numFmtId="0" fontId="1" fillId="0" borderId="0"/>
    <xf numFmtId="0" fontId="1" fillId="0" borderId="0">
      <protection locked="0"/>
    </xf>
    <xf numFmtId="0" fontId="1" fillId="0" borderId="0">
      <protection locked="0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>
      <protection locked="0"/>
    </xf>
    <xf numFmtId="0" fontId="1" fillId="0" borderId="0"/>
    <xf numFmtId="0" fontId="1" fillId="0" borderId="0"/>
    <xf numFmtId="0" fontId="34" fillId="0" borderId="0"/>
    <xf numFmtId="0" fontId="28" fillId="0" borderId="0"/>
    <xf numFmtId="0" fontId="1" fillId="0" borderId="0">
      <protection locked="0"/>
    </xf>
    <xf numFmtId="0" fontId="1" fillId="0" borderId="0"/>
    <xf numFmtId="0" fontId="28" fillId="0" borderId="0"/>
    <xf numFmtId="0" fontId="1" fillId="0" borderId="0">
      <protection locked="0"/>
    </xf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>
      <protection locked="0"/>
    </xf>
    <xf numFmtId="0" fontId="1" fillId="0" borderId="0">
      <protection locked="0"/>
    </xf>
    <xf numFmtId="0" fontId="28" fillId="0" borderId="0">
      <protection locked="0"/>
    </xf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>
      <protection locked="0"/>
    </xf>
    <xf numFmtId="0" fontId="28" fillId="0" borderId="0"/>
    <xf numFmtId="0" fontId="1" fillId="0" borderId="0">
      <protection locked="0"/>
    </xf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>
      <protection locked="0"/>
    </xf>
    <xf numFmtId="0" fontId="28" fillId="0" borderId="0">
      <protection locked="0"/>
    </xf>
    <xf numFmtId="0" fontId="28" fillId="0" borderId="0"/>
    <xf numFmtId="0" fontId="28" fillId="0" borderId="0"/>
    <xf numFmtId="0" fontId="28" fillId="0" borderId="0"/>
    <xf numFmtId="9" fontId="1" fillId="0" borderId="0" applyFont="0" applyFill="0" applyBorder="0" applyAlignment="0" applyProtection="0"/>
    <xf numFmtId="9" fontId="1" fillId="0" borderId="0">
      <alignment vertical="top"/>
      <protection locked="0"/>
    </xf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 vertical="top" wrapText="1"/>
    </xf>
    <xf numFmtId="0" fontId="21" fillId="0" borderId="0" xfId="36" applyFont="1"/>
    <xf numFmtId="0" fontId="21" fillId="0" borderId="0" xfId="36" applyFont="1" applyAlignment="1"/>
    <xf numFmtId="0" fontId="21" fillId="0" borderId="8" xfId="36" applyFont="1" applyBorder="1"/>
    <xf numFmtId="0" fontId="21" fillId="0" borderId="9" xfId="36" applyFont="1" applyBorder="1" applyAlignment="1"/>
    <xf numFmtId="0" fontId="21" fillId="0" borderId="10" xfId="36" applyFont="1" applyBorder="1"/>
    <xf numFmtId="0" fontId="21" fillId="0" borderId="12" xfId="36" applyFont="1" applyBorder="1"/>
    <xf numFmtId="0" fontId="21" fillId="0" borderId="11" xfId="36" applyFont="1" applyBorder="1" applyAlignment="1">
      <alignment vertical="top" wrapText="1"/>
    </xf>
    <xf numFmtId="0" fontId="21" fillId="0" borderId="0" xfId="36" applyFont="1" applyBorder="1" applyAlignment="1">
      <alignment vertical="top" wrapText="1"/>
    </xf>
    <xf numFmtId="0" fontId="21" fillId="0" borderId="12" xfId="36" applyFont="1" applyBorder="1" applyAlignment="1">
      <alignment horizontal="center" vertical="top" wrapText="1"/>
    </xf>
    <xf numFmtId="0" fontId="21" fillId="0" borderId="11" xfId="36" applyFont="1" applyBorder="1"/>
    <xf numFmtId="0" fontId="24" fillId="0" borderId="11" xfId="36" applyFont="1" applyBorder="1" applyAlignment="1">
      <alignment vertical="top" wrapText="1"/>
    </xf>
    <xf numFmtId="0" fontId="24" fillId="0" borderId="0" xfId="36" applyFont="1" applyBorder="1" applyAlignment="1">
      <alignment vertical="top" wrapText="1"/>
    </xf>
    <xf numFmtId="0" fontId="24" fillId="0" borderId="12" xfId="36" applyFont="1" applyBorder="1" applyAlignment="1">
      <alignment horizontal="center" vertical="top" wrapText="1"/>
    </xf>
    <xf numFmtId="0" fontId="25" fillId="0" borderId="0" xfId="36" applyFont="1"/>
    <xf numFmtId="0" fontId="26" fillId="0" borderId="0" xfId="36" applyFont="1" applyBorder="1" applyAlignment="1">
      <alignment vertical="top" wrapText="1"/>
    </xf>
    <xf numFmtId="0" fontId="26" fillId="0" borderId="12" xfId="36" applyFont="1" applyBorder="1" applyAlignment="1">
      <alignment horizontal="center" vertical="top" wrapText="1"/>
    </xf>
    <xf numFmtId="0" fontId="26" fillId="0" borderId="11" xfId="36" applyFont="1" applyBorder="1" applyAlignment="1">
      <alignment horizontal="left" vertical="top" wrapText="1"/>
    </xf>
    <xf numFmtId="0" fontId="21" fillId="0" borderId="0" xfId="36" applyFont="1" applyBorder="1"/>
    <xf numFmtId="0" fontId="21" fillId="0" borderId="13" xfId="36" applyFont="1" applyBorder="1"/>
    <xf numFmtId="0" fontId="21" fillId="0" borderId="14" xfId="36" applyFont="1" applyBorder="1"/>
    <xf numFmtId="0" fontId="21" fillId="0" borderId="15" xfId="36" applyFont="1" applyBorder="1"/>
    <xf numFmtId="0" fontId="40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0" borderId="1" xfId="0" applyBorder="1" applyAlignment="1">
      <alignment vertical="top"/>
    </xf>
    <xf numFmtId="4" fontId="8" fillId="0" borderId="1" xfId="0" applyNumberFormat="1" applyFont="1" applyBorder="1" applyAlignment="1">
      <alignment horizontal="center" vertical="top" wrapText="1"/>
    </xf>
    <xf numFmtId="4" fontId="6" fillId="0" borderId="1" xfId="0" applyNumberFormat="1" applyFont="1" applyBorder="1" applyAlignment="1">
      <alignment horizontal="center" vertical="top" wrapText="1"/>
    </xf>
    <xf numFmtId="4" fontId="9" fillId="0" borderId="1" xfId="0" applyNumberFormat="1" applyFont="1" applyBorder="1" applyAlignment="1">
      <alignment horizontal="center" vertical="top" wrapText="1"/>
    </xf>
    <xf numFmtId="4" fontId="40" fillId="0" borderId="1" xfId="0" applyNumberFormat="1" applyFont="1" applyBorder="1" applyAlignment="1">
      <alignment horizontal="center" vertical="top" wrapText="1"/>
    </xf>
    <xf numFmtId="4" fontId="39" fillId="0" borderId="1" xfId="0" applyNumberFormat="1" applyFont="1" applyBorder="1" applyAlignment="1">
      <alignment horizontal="right" vertical="top"/>
    </xf>
    <xf numFmtId="2" fontId="39" fillId="0" borderId="1" xfId="0" applyNumberFormat="1" applyFont="1" applyBorder="1" applyAlignment="1">
      <alignment horizontal="center" vertical="top" wrapText="1"/>
    </xf>
    <xf numFmtId="0" fontId="7" fillId="0" borderId="0" xfId="0" applyFont="1" applyAlignment="1">
      <alignment vertical="top"/>
    </xf>
    <xf numFmtId="0" fontId="11" fillId="0" borderId="0" xfId="0" applyFont="1" applyAlignment="1">
      <alignment vertical="top"/>
    </xf>
    <xf numFmtId="4" fontId="41" fillId="0" borderId="1" xfId="0" applyNumberFormat="1" applyFont="1" applyBorder="1" applyAlignment="1">
      <alignment horizontal="center" vertical="top" wrapText="1"/>
    </xf>
    <xf numFmtId="4" fontId="38" fillId="0" borderId="1" xfId="0" applyNumberFormat="1" applyFont="1" applyBorder="1" applyAlignment="1">
      <alignment horizontal="right" vertical="top"/>
    </xf>
    <xf numFmtId="4" fontId="38" fillId="0" borderId="1" xfId="0" applyNumberFormat="1" applyFont="1" applyBorder="1" applyAlignment="1">
      <alignment horizontal="center" vertical="top" wrapText="1"/>
    </xf>
    <xf numFmtId="2" fontId="41" fillId="0" borderId="1" xfId="0" applyNumberFormat="1" applyFont="1" applyBorder="1" applyAlignment="1">
      <alignment horizontal="center" vertical="top" wrapText="1"/>
    </xf>
    <xf numFmtId="2" fontId="38" fillId="0" borderId="1" xfId="0" applyNumberFormat="1" applyFont="1" applyBorder="1" applyAlignment="1">
      <alignment horizontal="center" vertical="top" wrapText="1"/>
    </xf>
    <xf numFmtId="0" fontId="41" fillId="0" borderId="0" xfId="0" applyFont="1" applyAlignment="1">
      <alignment horizontal="center" vertical="top" wrapText="1"/>
    </xf>
    <xf numFmtId="0" fontId="41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4" fontId="42" fillId="0" borderId="1" xfId="0" applyNumberFormat="1" applyFont="1" applyBorder="1" applyAlignment="1">
      <alignment horizontal="center" vertical="top" wrapText="1"/>
    </xf>
    <xf numFmtId="4" fontId="43" fillId="0" borderId="1" xfId="0" applyNumberFormat="1" applyFont="1" applyBorder="1" applyAlignment="1">
      <alignment horizontal="center" vertical="top" wrapText="1"/>
    </xf>
    <xf numFmtId="0" fontId="40" fillId="0" borderId="1" xfId="0" applyFont="1" applyBorder="1" applyAlignment="1">
      <alignment horizontal="center" vertical="top" wrapText="1"/>
    </xf>
    <xf numFmtId="0" fontId="40" fillId="0" borderId="1" xfId="0" applyFont="1" applyBorder="1" applyAlignment="1">
      <alignment horizontal="left" vertical="top" wrapText="1"/>
    </xf>
    <xf numFmtId="0" fontId="45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39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horizontal="right" vertical="top" wrapText="1"/>
    </xf>
    <xf numFmtId="0" fontId="40" fillId="0" borderId="0" xfId="0" applyFont="1" applyBorder="1" applyAlignment="1">
      <alignment horizontal="center" vertical="top" wrapText="1"/>
    </xf>
    <xf numFmtId="0" fontId="40" fillId="0" borderId="0" xfId="0" applyFont="1" applyBorder="1" applyAlignment="1">
      <alignment horizontal="left" vertical="top" wrapText="1"/>
    </xf>
    <xf numFmtId="4" fontId="40" fillId="0" borderId="0" xfId="0" applyNumberFormat="1" applyFont="1" applyBorder="1" applyAlignment="1">
      <alignment horizontal="center" vertical="top" wrapText="1"/>
    </xf>
    <xf numFmtId="4" fontId="39" fillId="0" borderId="0" xfId="0" applyNumberFormat="1" applyFont="1" applyBorder="1" applyAlignment="1">
      <alignment horizontal="right" vertical="top"/>
    </xf>
    <xf numFmtId="2" fontId="39" fillId="0" borderId="0" xfId="0" applyNumberFormat="1" applyFont="1" applyBorder="1" applyAlignment="1">
      <alignment horizontal="center" vertical="top" wrapText="1"/>
    </xf>
    <xf numFmtId="4" fontId="39" fillId="0" borderId="0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4" fontId="39" fillId="0" borderId="1" xfId="0" applyNumberFormat="1" applyFont="1" applyBorder="1" applyAlignment="1">
      <alignment horizontal="center" vertical="top"/>
    </xf>
    <xf numFmtId="0" fontId="46" fillId="0" borderId="0" xfId="0" applyFont="1" applyAlignment="1">
      <alignment horizontal="center" vertical="top"/>
    </xf>
    <xf numFmtId="0" fontId="44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3" fillId="0" borderId="12" xfId="36" applyFont="1" applyBorder="1" applyAlignment="1">
      <alignment horizontal="center" vertical="top" wrapText="1"/>
    </xf>
    <xf numFmtId="0" fontId="23" fillId="0" borderId="0" xfId="36" applyFont="1" applyBorder="1" applyAlignment="1">
      <alignment horizontal="center" vertical="top" wrapText="1"/>
    </xf>
    <xf numFmtId="0" fontId="23" fillId="0" borderId="11" xfId="36" applyFont="1" applyBorder="1" applyAlignment="1">
      <alignment horizontal="center" vertical="top" wrapText="1"/>
    </xf>
    <xf numFmtId="173" fontId="23" fillId="0" borderId="12" xfId="36" applyNumberFormat="1" applyFont="1" applyBorder="1" applyAlignment="1">
      <alignment horizontal="center" vertical="top" wrapText="1"/>
    </xf>
    <xf numFmtId="173" fontId="23" fillId="0" borderId="0" xfId="36" applyNumberFormat="1" applyFont="1" applyBorder="1" applyAlignment="1">
      <alignment horizontal="center" vertical="top" wrapText="1"/>
    </xf>
    <xf numFmtId="173" fontId="23" fillId="0" borderId="11" xfId="36" applyNumberFormat="1" applyFont="1" applyBorder="1" applyAlignment="1">
      <alignment horizontal="center" vertical="top" wrapText="1"/>
    </xf>
    <xf numFmtId="0" fontId="27" fillId="0" borderId="12" xfId="36" applyFont="1" applyBorder="1" applyAlignment="1">
      <alignment horizontal="center" vertical="top" wrapText="1"/>
    </xf>
    <xf numFmtId="0" fontId="27" fillId="0" borderId="0" xfId="36" applyFont="1" applyBorder="1" applyAlignment="1">
      <alignment horizontal="center" vertical="top" wrapText="1"/>
    </xf>
    <xf numFmtId="0" fontId="27" fillId="0" borderId="11" xfId="36" applyFont="1" applyBorder="1" applyAlignment="1">
      <alignment horizontal="center" vertical="top" wrapText="1"/>
    </xf>
    <xf numFmtId="0" fontId="37" fillId="0" borderId="12" xfId="36" applyFont="1" applyBorder="1" applyAlignment="1">
      <alignment horizontal="center" vertical="top" wrapText="1"/>
    </xf>
    <xf numFmtId="0" fontId="37" fillId="0" borderId="0" xfId="36" applyFont="1" applyBorder="1" applyAlignment="1">
      <alignment horizontal="center" vertical="top" wrapText="1"/>
    </xf>
    <xf numFmtId="0" fontId="37" fillId="0" borderId="11" xfId="36" applyFont="1" applyBorder="1" applyAlignment="1">
      <alignment horizontal="center" vertical="top" wrapText="1"/>
    </xf>
    <xf numFmtId="0" fontId="36" fillId="0" borderId="12" xfId="36" applyFont="1" applyBorder="1" applyAlignment="1">
      <alignment horizontal="center" vertical="top" wrapText="1"/>
    </xf>
    <xf numFmtId="0" fontId="36" fillId="0" borderId="0" xfId="36" applyFont="1" applyBorder="1" applyAlignment="1">
      <alignment horizontal="center" vertical="top" wrapText="1"/>
    </xf>
    <xf numFmtId="0" fontId="36" fillId="0" borderId="11" xfId="36" applyFont="1" applyBorder="1" applyAlignment="1">
      <alignment horizontal="center" vertical="top" wrapText="1"/>
    </xf>
    <xf numFmtId="0" fontId="47" fillId="0" borderId="1" xfId="0" applyFont="1" applyBorder="1" applyAlignment="1">
      <alignment horizontal="left" vertical="top" wrapText="1"/>
    </xf>
  </cellXfs>
  <cellStyles count="191">
    <cellStyle name="1" xfId="1"/>
    <cellStyle name="1_Ajarka to State Border (Haryana) Tala Via Bansur Naryanpur ThanagaziXLS" xfId="38"/>
    <cellStyle name="1_BYEPASS KUSHALGARH THANGAZI ROAD  24.04.2013(A)" xfId="39"/>
    <cellStyle name="1_BYEPASS KUSHALGARH THANGAZI ROAD (SH-13)" xfId="40"/>
    <cellStyle name="1_BYEPASS KUSHALGARH THANGAZI ROAD (SH-13)(A+C)" xfId="41"/>
    <cellStyle name="1_BYEPASS KUSHALGARH THANGAZI ROAD (SH-13)24.04.2013(B)" xfId="42"/>
    <cellStyle name="1_DESIGN BRIDGE" xfId="43"/>
    <cellStyle name="1_Estimate Alwar Bhiwadi Road to Pavti" xfId="44"/>
    <cellStyle name="1_ESTIMATE Golki" xfId="45"/>
    <cellStyle name="1_MDR-78 Km. 40.400 to 52.400" xfId="46"/>
    <cellStyle name="1_ODR-45 Km. 0.0 to 3.0, 10.0 to 14.0" xfId="47"/>
    <cellStyle name="1_Reh. Imp. of Kishangarh 29.100 to 57.05 (MDR-25)" xfId="48"/>
    <cellStyle name="1_SH-52" xfId="49"/>
    <cellStyle name="1_SH-52 (70.0 to 81.0)" xfId="50"/>
    <cellStyle name="1_Sports Complex  Alwar 10.04.13" xfId="51"/>
    <cellStyle name="1_Strenthening &amp; Renewal on Ramgarh Alwar thanagazi Shahpura" xfId="52"/>
    <cellStyle name="1_Widening &amp; Strenghening on Ramgarh Alwar Sahahapura SH-13 Km. 192.0to 225" xfId="53"/>
    <cellStyle name="1_Widening &amp; Strenghening on Ramgarh Alwar Sahahapura SH-13 Km.211.0to 224" xfId="54"/>
    <cellStyle name="2x2" xfId="2"/>
    <cellStyle name="75" xfId="3"/>
    <cellStyle name="90" xfId="4"/>
    <cellStyle name="90 Degree" xfId="5"/>
    <cellStyle name="90_0" xfId="55"/>
    <cellStyle name="Accent1 - 20%" xfId="56"/>
    <cellStyle name="Accent1 - 40%" xfId="57"/>
    <cellStyle name="Accent1 - 60%" xfId="58"/>
    <cellStyle name="Accent2 - 20%" xfId="59"/>
    <cellStyle name="Accent2 - 40%" xfId="60"/>
    <cellStyle name="Accent2 - 60%" xfId="61"/>
    <cellStyle name="Accent3 - 20%" xfId="62"/>
    <cellStyle name="Accent3 - 40%" xfId="63"/>
    <cellStyle name="Accent3 - 60%" xfId="64"/>
    <cellStyle name="Accent4 - 20%" xfId="65"/>
    <cellStyle name="Accent4 - 40%" xfId="66"/>
    <cellStyle name="Accent4 - 60%" xfId="67"/>
    <cellStyle name="Accent5 - 20%" xfId="68"/>
    <cellStyle name="Accent5 - 40%" xfId="69"/>
    <cellStyle name="Accent5 - 60%" xfId="70"/>
    <cellStyle name="Accent6 - 20%" xfId="71"/>
    <cellStyle name="Accent6 - 40%" xfId="72"/>
    <cellStyle name="Accent6 - 60%" xfId="73"/>
    <cellStyle name="ÅëÈ­ [0]_±âÅ¸" xfId="6"/>
    <cellStyle name="ÅëÈ­_±âÅ¸" xfId="7"/>
    <cellStyle name="ÄÞ¸¶ [0]_±âÅ¸" xfId="8"/>
    <cellStyle name="ÄÞ¸¶_±âÅ¸" xfId="9"/>
    <cellStyle name="B &amp; C" xfId="10"/>
    <cellStyle name="c &amp; c" xfId="11"/>
    <cellStyle name="C &amp; J" xfId="12"/>
    <cellStyle name="C&amp;C" xfId="13"/>
    <cellStyle name="Ç¥ÁØ_¿¬°£´©°è¿¹»ó" xfId="14"/>
    <cellStyle name="CC" xfId="15"/>
    <cellStyle name="Comma 2" xfId="74"/>
    <cellStyle name="Comma 2 2" xfId="75"/>
    <cellStyle name="Comma 2 3" xfId="76"/>
    <cellStyle name="Comma 2 4" xfId="77"/>
    <cellStyle name="Comma 2 5" xfId="78"/>
    <cellStyle name="Comma 2_21. PHQ GHILOT GAURAV PATH(HARBHAN SINGH) " xfId="79"/>
    <cellStyle name="Comma 3" xfId="80"/>
    <cellStyle name="Comma 4" xfId="81"/>
    <cellStyle name="Comma 5" xfId="82"/>
    <cellStyle name="Currency 2" xfId="16"/>
    <cellStyle name="d" xfId="17"/>
    <cellStyle name="d_0" xfId="83"/>
    <cellStyle name="d_Abstract" xfId="84"/>
    <cellStyle name="d_Ajarka to State Border (Haryana) Tala Via Bansur Naryanpur ThanagaziXLS" xfId="85"/>
    <cellStyle name="d_Ajarka to State Border (Haryana) Tala Via Bansur Naryanpur ThanagaziXLS_21. PHQ GHILOT GAURAV PATH(HARBHAN SINGH) " xfId="86"/>
    <cellStyle name="d_Ajarka to State Border (Haryana) Tala Via Bansur Naryanpur ThanagaziXLS_BYEPASS KUSHALGARH THANGAZI ROAD  24.04.2013(A)" xfId="87"/>
    <cellStyle name="d_Ajarka to State Border (Haryana) Tala Via Bansur Naryanpur ThanagaziXLS_RIDF XX MDR ORDR VR " xfId="88"/>
    <cellStyle name="d_BYEPASS KUSHALGARH THANGAZI ROAD  24.04.2013(A)" xfId="89"/>
    <cellStyle name="d_C.C. M-30 Design (As per IRC 58 2002)" xfId="90"/>
    <cellStyle name="d_Delete After Sheet use" xfId="91"/>
    <cellStyle name="d_DESIGN BRIDGE" xfId="92"/>
    <cellStyle name="d_desine" xfId="93"/>
    <cellStyle name="d_Estimate Alwar Bhiwadi Road to Pavti" xfId="94"/>
    <cellStyle name="d_ESTIMATE Golki" xfId="95"/>
    <cellStyle name="d_ESTIMATE Golki_21. PHQ GHILOT GAURAV PATH(HARBHAN SINGH) " xfId="96"/>
    <cellStyle name="d_ESTIMATE Golki_BYEPASS KUSHALGARH THANGAZI ROAD  24.04.2013(A)" xfId="97"/>
    <cellStyle name="d_ESTIMATE Golki_RIDF XX MDR ORDR VR " xfId="98"/>
    <cellStyle name="d_Estimate of Widening &amp; Strengthening of Ladi Ka Bas to Sanwalpura Tanwaran" xfId="99"/>
    <cellStyle name="d_Kherli Kathumar Nagar 05.06.2011" xfId="100"/>
    <cellStyle name="d_MDR-78 Km. 40.400 to 52.400" xfId="101"/>
    <cellStyle name="d_ODR-45 Km. 0.0 to 3.0, 10.0 to 14.0" xfId="102"/>
    <cellStyle name="d_Reh. Imp. of Kishangarh 29.100 to 57.05 (MDR-25)" xfId="103"/>
    <cellStyle name="d_Rev RIDF_XXII_DPR (1) online Sheet" xfId="104"/>
    <cellStyle name="d_RIDF XX MDR ORDR VR " xfId="105"/>
    <cellStyle name="d_RIDF XX NOT PATCHABLE MDR ORDR VR-1 " xfId="106"/>
    <cellStyle name="d_Sample Estimate ( Widening)" xfId="107"/>
    <cellStyle name="d_SH-52" xfId="108"/>
    <cellStyle name="d_Sports Complex  Alwar 10.04.13" xfId="109"/>
    <cellStyle name="d_Strengthening of Shahpura-Neem Ka Thana- Khetari-Chirawa" xfId="110"/>
    <cellStyle name="Emphasis 1" xfId="111"/>
    <cellStyle name="Emphasis 2" xfId="112"/>
    <cellStyle name="Emphasis 3" xfId="113"/>
    <cellStyle name="Header1" xfId="18"/>
    <cellStyle name="Header2" xfId="19"/>
    <cellStyle name="Hyperlink 2" xfId="114"/>
    <cellStyle name="Justify" xfId="20"/>
    <cellStyle name="Kg" xfId="21"/>
    <cellStyle name="L&amp;J" xfId="22"/>
    <cellStyle name="Left" xfId="23"/>
    <cellStyle name="MS_Arabic" xfId="115"/>
    <cellStyle name="New" xfId="24"/>
    <cellStyle name="New1" xfId="25"/>
    <cellStyle name="Normal" xfId="0" builtinId="0"/>
    <cellStyle name="Normal 10" xfId="37"/>
    <cellStyle name="Normal 10 2" xfId="116"/>
    <cellStyle name="Normal 10 2 2" xfId="117"/>
    <cellStyle name="Normal 10 2 7" xfId="118"/>
    <cellStyle name="Normal 10 3" xfId="119"/>
    <cellStyle name="Normal 10 3 5" xfId="120"/>
    <cellStyle name="Normal 10 4" xfId="121"/>
    <cellStyle name="Normal 105 4" xfId="122"/>
    <cellStyle name="Normal 11" xfId="123"/>
    <cellStyle name="Normal 11 3" xfId="124"/>
    <cellStyle name="Normal 12" xfId="125"/>
    <cellStyle name="Normal 12 2 5" xfId="126"/>
    <cellStyle name="Normal 13" xfId="127"/>
    <cellStyle name="Normal 13 2 2 2" xfId="128"/>
    <cellStyle name="Normal 14" xfId="129"/>
    <cellStyle name="Normal 14 2" xfId="130"/>
    <cellStyle name="Normal 14 2 2" xfId="131"/>
    <cellStyle name="Normal 14 4" xfId="132"/>
    <cellStyle name="Normal 14 7" xfId="133"/>
    <cellStyle name="Normal 14_Abstract" xfId="134"/>
    <cellStyle name="Normal 16 3" xfId="135"/>
    <cellStyle name="Normal 16 5" xfId="136"/>
    <cellStyle name="Normal 17 3" xfId="137"/>
    <cellStyle name="Normal 18 3" xfId="138"/>
    <cellStyle name="Normal 19" xfId="139"/>
    <cellStyle name="Normal 19 2" xfId="140"/>
    <cellStyle name="Normal 19_DPR RIDF-XXIV NP Circle Banswara (May 2018) Not Use" xfId="141"/>
    <cellStyle name="Normal 2" xfId="26"/>
    <cellStyle name="Normal 2 10" xfId="142"/>
    <cellStyle name="Normal 2 10 3" xfId="143"/>
    <cellStyle name="Normal 2 10_Abstract" xfId="144"/>
    <cellStyle name="Normal 2 2" xfId="145"/>
    <cellStyle name="Normal 2 2 2" xfId="146"/>
    <cellStyle name="Normal 2 2 3" xfId="147"/>
    <cellStyle name="Normal 2 2_Abstract" xfId="148"/>
    <cellStyle name="Normal 2 3" xfId="149"/>
    <cellStyle name="Normal 2 3 2" xfId="150"/>
    <cellStyle name="Normal 2 3_DPR_RIDF_XXIII" xfId="151"/>
    <cellStyle name="Normal 2 4" xfId="152"/>
    <cellStyle name="Normal 2 5" xfId="153"/>
    <cellStyle name="Normal 2_21. PHQ GHILOT GAURAV PATH(HARBHAN SINGH) " xfId="154"/>
    <cellStyle name="Normal 22" xfId="155"/>
    <cellStyle name="Normal 220 2" xfId="156"/>
    <cellStyle name="Normal 23 4" xfId="157"/>
    <cellStyle name="Normal 24" xfId="158"/>
    <cellStyle name="Normal 27" xfId="159"/>
    <cellStyle name="Normal 3" xfId="36"/>
    <cellStyle name="Normal 3 10" xfId="160"/>
    <cellStyle name="Normal 3 2" xfId="161"/>
    <cellStyle name="Normal 3 3" xfId="162"/>
    <cellStyle name="Normal 3_1 Est. SRF Poonchiyawara (March 2018)" xfId="163"/>
    <cellStyle name="Normal 36" xfId="164"/>
    <cellStyle name="Normal 4" xfId="165"/>
    <cellStyle name="Normal 4 15 5" xfId="166"/>
    <cellStyle name="Normal 4 18" xfId="167"/>
    <cellStyle name="Normal 4 2" xfId="168"/>
    <cellStyle name="Normal 4 2 2" xfId="169"/>
    <cellStyle name="Normal 4 2_DPR RIDF-XXIV NP Circle Banswara (May 2018) Not Use" xfId="170"/>
    <cellStyle name="Normal 42" xfId="171"/>
    <cellStyle name="Normal 5" xfId="172"/>
    <cellStyle name="Normal 5 2" xfId="173"/>
    <cellStyle name="Normal 5 2 2" xfId="174"/>
    <cellStyle name="Normal 6" xfId="175"/>
    <cellStyle name="Normal 7" xfId="176"/>
    <cellStyle name="Normal 7 2" xfId="177"/>
    <cellStyle name="Normal 7_DPR RIDF-XXIV NP Circle Banswara (May 2018) Not Use" xfId="178"/>
    <cellStyle name="Normal 8" xfId="179"/>
    <cellStyle name="Normal 8 2" xfId="180"/>
    <cellStyle name="Normal 8 3" xfId="181"/>
    <cellStyle name="Normal 9" xfId="182"/>
    <cellStyle name="Normal 9 2" xfId="183"/>
    <cellStyle name="Normal 9 3" xfId="184"/>
    <cellStyle name="Normal 9 4" xfId="185"/>
    <cellStyle name="Normal 9_DPR RIDF-XXIV NP Circle Banswara (May 2018) Not Use" xfId="186"/>
    <cellStyle name="Normal b" xfId="27"/>
    <cellStyle name="Percent 2" xfId="28"/>
    <cellStyle name="Percent 2 2" xfId="187"/>
    <cellStyle name="Percent 2 2 2" xfId="188"/>
    <cellStyle name="Percent 3" xfId="189"/>
    <cellStyle name="rmt" xfId="29"/>
    <cellStyle name="Sheet Title" xfId="190"/>
    <cellStyle name="Standard_BS14" xfId="30"/>
    <cellStyle name="Style 1" xfId="31"/>
    <cellStyle name="T &amp; C" xfId="32"/>
    <cellStyle name="T &amp; J" xfId="33"/>
    <cellStyle name="T&amp;J" xfId="34"/>
    <cellStyle name="Top" xfId="3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1096736</xdr:colOff>
      <xdr:row>0</xdr:row>
      <xdr:rowOff>122466</xdr:rowOff>
    </xdr:from>
    <xdr:to>
      <xdr:col>3</xdr:col>
      <xdr:colOff>1632857</xdr:colOff>
      <xdr:row>4</xdr:row>
      <xdr:rowOff>69857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30000" contrast="48000"/>
        </a:blip>
        <a:srcRect/>
        <a:stretch>
          <a:fillRect/>
        </a:stretch>
      </xdr:blipFill>
      <xdr:spPr bwMode="auto">
        <a:xfrm>
          <a:off x="3940629" y="122466"/>
          <a:ext cx="536121" cy="722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1\c\C%20Drive%202007%20(SANJAY)\My%20Documents\AMBALAL%20G%20&amp;%20Charpota%20Ji\Dividetion%20%20SH-10%20Inter%20State%20%20Roads%20(New%20BSR%202007)\SH-10%20Inter%20State%20%20Pipalkhunt%20(2007-08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1\c\WINDOWS\Profiles\PARSHWA\Desktop\VIrendra%20JI\New%20Folder\ARRR-ver-11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el1\e\LUTHRAJI\My%20Document\Data%20of%20GS\SDM\New%20Folder\Rural%20BSR%20Dausa%2011.10.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1\c\C%20Drive%202007\My%20Documents\BSR%20PMGSY%202006%2017-11-06\Anylsis%20of%20Rates%20for%20Rural%20Road%20(ARRR)%20%20Oct20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CHC%20Ganoda%20(2008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Page"/>
      <sheetName val="Sheet1"/>
      <sheetName val="Index"/>
      <sheetName val="Check List "/>
      <sheetName val="Second Page "/>
      <sheetName val="Techanical Report"/>
      <sheetName val="Non "/>
      <sheetName val="Sample Estimate"/>
      <sheetName val="GENERAL ABSTRACT"/>
      <sheetName val="Annexure-I"/>
      <sheetName val="Annexure-II"/>
      <sheetName val="&quot;G&quot; Schedule"/>
      <sheetName val="Abstract"/>
      <sheetName val="WAKHATPURA"/>
      <sheetName val="Annexure -II"/>
      <sheetName val="CERTIFICATE"/>
      <sheetName val="Certificate 01"/>
      <sheetName val="SH-10"/>
      <sheetName val="LIn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Abstract"/>
    </sheetNames>
    <sheetDataSet>
      <sheetData sheetId="0" refreshError="1"/>
      <sheetData sheetId="1" refreshError="1"/>
      <sheetData sheetId="2" refreshError="1">
        <row r="4">
          <cell r="G4">
            <v>230</v>
          </cell>
        </row>
        <row r="6">
          <cell r="G6">
            <v>1800</v>
          </cell>
        </row>
        <row r="10">
          <cell r="G10">
            <v>125</v>
          </cell>
        </row>
        <row r="11">
          <cell r="G11">
            <v>90</v>
          </cell>
        </row>
        <row r="13">
          <cell r="G13">
            <v>1100</v>
          </cell>
        </row>
        <row r="15">
          <cell r="G15">
            <v>700</v>
          </cell>
        </row>
        <row r="17">
          <cell r="G17">
            <v>550</v>
          </cell>
        </row>
        <row r="19">
          <cell r="G19">
            <v>150</v>
          </cell>
        </row>
        <row r="20">
          <cell r="G20">
            <v>650</v>
          </cell>
        </row>
        <row r="21">
          <cell r="G21">
            <v>300</v>
          </cell>
        </row>
        <row r="25">
          <cell r="G25">
            <v>650</v>
          </cell>
        </row>
        <row r="28">
          <cell r="G28">
            <v>600</v>
          </cell>
        </row>
        <row r="34">
          <cell r="G34">
            <v>185</v>
          </cell>
        </row>
        <row r="45">
          <cell r="G45">
            <v>400</v>
          </cell>
        </row>
        <row r="48">
          <cell r="G48">
            <v>125</v>
          </cell>
        </row>
        <row r="49">
          <cell r="G49">
            <v>200</v>
          </cell>
        </row>
        <row r="53">
          <cell r="G53">
            <v>230</v>
          </cell>
        </row>
      </sheetData>
      <sheetData sheetId="3" refreshError="1">
        <row r="3">
          <cell r="D3">
            <v>60</v>
          </cell>
        </row>
        <row r="5">
          <cell r="D5">
            <v>120</v>
          </cell>
        </row>
        <row r="6">
          <cell r="D6">
            <v>150</v>
          </cell>
        </row>
        <row r="11">
          <cell r="D11">
            <v>150</v>
          </cell>
        </row>
        <row r="14">
          <cell r="D14">
            <v>120</v>
          </cell>
        </row>
        <row r="16">
          <cell r="D16">
            <v>60</v>
          </cell>
        </row>
        <row r="17">
          <cell r="D17">
            <v>60</v>
          </cell>
        </row>
        <row r="19">
          <cell r="D19">
            <v>60</v>
          </cell>
        </row>
      </sheetData>
      <sheetData sheetId="4" refreshError="1">
        <row r="17">
          <cell r="D17">
            <v>280</v>
          </cell>
        </row>
        <row r="18">
          <cell r="D18">
            <v>280</v>
          </cell>
        </row>
        <row r="19">
          <cell r="D19">
            <v>250</v>
          </cell>
        </row>
        <row r="21">
          <cell r="D21">
            <v>300</v>
          </cell>
        </row>
        <row r="22">
          <cell r="D22">
            <v>300</v>
          </cell>
        </row>
        <row r="25">
          <cell r="D25">
            <v>280</v>
          </cell>
        </row>
        <row r="38">
          <cell r="D38">
            <v>35</v>
          </cell>
        </row>
        <row r="43">
          <cell r="D43">
            <v>12500</v>
          </cell>
        </row>
        <row r="44">
          <cell r="D44">
            <v>14000</v>
          </cell>
        </row>
        <row r="45">
          <cell r="D45">
            <v>13000</v>
          </cell>
        </row>
        <row r="48">
          <cell r="D48" t="str">
            <v>Input Rate</v>
          </cell>
        </row>
        <row r="49">
          <cell r="D49">
            <v>12</v>
          </cell>
        </row>
        <row r="51">
          <cell r="D51">
            <v>2700</v>
          </cell>
        </row>
        <row r="64">
          <cell r="D64">
            <v>300</v>
          </cell>
        </row>
        <row r="65">
          <cell r="D65">
            <v>250</v>
          </cell>
        </row>
        <row r="74">
          <cell r="D74">
            <v>35</v>
          </cell>
        </row>
        <row r="88">
          <cell r="D88">
            <v>45</v>
          </cell>
        </row>
        <row r="114">
          <cell r="D114">
            <v>1900</v>
          </cell>
        </row>
        <row r="117">
          <cell r="D117">
            <v>600</v>
          </cell>
        </row>
        <row r="125">
          <cell r="D125">
            <v>275</v>
          </cell>
        </row>
        <row r="126">
          <cell r="D126">
            <v>250</v>
          </cell>
        </row>
        <row r="129">
          <cell r="D129">
            <v>27000</v>
          </cell>
        </row>
        <row r="136">
          <cell r="D136">
            <v>250</v>
          </cell>
        </row>
        <row r="138">
          <cell r="D138">
            <v>230</v>
          </cell>
        </row>
        <row r="146">
          <cell r="D146">
            <v>25</v>
          </cell>
        </row>
        <row r="154">
          <cell r="D154">
            <v>65</v>
          </cell>
        </row>
        <row r="155">
          <cell r="D155">
            <v>65</v>
          </cell>
        </row>
        <row r="156">
          <cell r="D156">
            <v>65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Index"/>
      <sheetName val="Abbreviations"/>
      <sheetName val="Sheet2"/>
      <sheetName val="BSR 2011"/>
      <sheetName val="master_sheet"/>
      <sheetName val="DRG. Slab Culvert-SH-54 -79(2)"/>
      <sheetName val="Rural BSR Dausa 11.10.06"/>
      <sheetName val="Plant_&amp;__Machinery"/>
      <sheetName val="Summary_of_Rates"/>
      <sheetName val="Basic_Approach"/>
      <sheetName val="BSR_2011"/>
      <sheetName val="DRG__Slab_Culvert-SH-54_-79(2)"/>
      <sheetName val="Rural_BSR_Dausa_11_10_06"/>
      <sheetName val="Plant_&amp;__Machinery1"/>
      <sheetName val="Summary_of_Rates1"/>
      <sheetName val="Basic_Approach1"/>
      <sheetName val="BSR_20111"/>
      <sheetName val="DRG__Slab_Culvert-SH-54_-79(2)1"/>
      <sheetName val="Rural_BSR_Dausa_11_10_061"/>
      <sheetName val="Plant_&amp;__Machinery2"/>
      <sheetName val="Summary_of_Rates2"/>
      <sheetName val="Basic_Approach2"/>
      <sheetName val="BSR_20112"/>
      <sheetName val="DRG__Slab_Culvert-SH-54_-79(2)2"/>
      <sheetName val="Rural_BSR_Dausa_11_10_062"/>
      <sheetName val="ADT"/>
      <sheetName val="Preamble-1\"/>
      <sheetName val="EW"/>
      <sheetName val="WBM"/>
      <sheetName val="Master data Entry"/>
      <sheetName val="Preamble-1_"/>
      <sheetName val="[Rural BSR Dausa 11.10.06.xls]P"/>
      <sheetName val="Dtl-RCC"/>
      <sheetName val="horizontal"/>
      <sheetName val="_Rural BSR Dausa 11.10.06.xls_P"/>
      <sheetName val="Plant_&amp;__Machinery4"/>
      <sheetName val="Summary_of_Rates4"/>
      <sheetName val="Basic_Approach4"/>
      <sheetName val="BSR_20114"/>
      <sheetName val="DRG__Slab_Culvert-SH-54_-79(2)4"/>
      <sheetName val="Rural_BSR_Dausa_11_10_064"/>
      <sheetName val="Master_data_Entry1"/>
      <sheetName val="Plant_&amp;__Machinery3"/>
      <sheetName val="Summary_of_Rates3"/>
      <sheetName val="Basic_Approach3"/>
      <sheetName val="BSR_20113"/>
      <sheetName val="DRG__Slab_Culvert-SH-54_-79(2)3"/>
      <sheetName val="Rural_BSR_Dausa_11_10_063"/>
      <sheetName val="Master_data_Entry"/>
      <sheetName val="Pro_PMGSY Dec-07"/>
      <sheetName val="5"/>
      <sheetName val="PH-V (20-07-06) (77)"/>
      <sheetName val="Annexure-III"/>
      <sheetName val="P"/>
    </sheetNames>
    <sheetDataSet>
      <sheetData sheetId="0"/>
      <sheetData sheetId="1"/>
      <sheetData sheetId="2" refreshError="1">
        <row r="4">
          <cell r="G4">
            <v>130</v>
          </cell>
        </row>
        <row r="5">
          <cell r="G5">
            <v>6500</v>
          </cell>
        </row>
        <row r="6">
          <cell r="G6">
            <v>6000</v>
          </cell>
        </row>
        <row r="8">
          <cell r="G8">
            <v>60</v>
          </cell>
        </row>
        <row r="9">
          <cell r="G9">
            <v>80</v>
          </cell>
        </row>
        <row r="10">
          <cell r="G10">
            <v>180</v>
          </cell>
        </row>
        <row r="11">
          <cell r="G11">
            <v>50</v>
          </cell>
        </row>
        <row r="12">
          <cell r="G12">
            <v>300</v>
          </cell>
        </row>
        <row r="13">
          <cell r="G13">
            <v>450</v>
          </cell>
        </row>
        <row r="15">
          <cell r="G15">
            <v>800</v>
          </cell>
        </row>
        <row r="17">
          <cell r="G17">
            <v>400</v>
          </cell>
        </row>
        <row r="19">
          <cell r="G19">
            <v>110</v>
          </cell>
        </row>
        <row r="20">
          <cell r="G20">
            <v>400</v>
          </cell>
        </row>
        <row r="21">
          <cell r="G21">
            <v>400</v>
          </cell>
        </row>
        <row r="22">
          <cell r="G22">
            <v>120</v>
          </cell>
        </row>
        <row r="23">
          <cell r="G23">
            <v>25</v>
          </cell>
        </row>
        <row r="24">
          <cell r="G24">
            <v>150</v>
          </cell>
        </row>
        <row r="25">
          <cell r="G25">
            <v>1500</v>
          </cell>
        </row>
        <row r="27">
          <cell r="G27">
            <v>40</v>
          </cell>
        </row>
        <row r="28">
          <cell r="G28">
            <v>450</v>
          </cell>
        </row>
        <row r="29">
          <cell r="G29">
            <v>40</v>
          </cell>
        </row>
        <row r="30">
          <cell r="G30">
            <v>40</v>
          </cell>
        </row>
        <row r="31">
          <cell r="G31">
            <v>60</v>
          </cell>
        </row>
        <row r="33">
          <cell r="G33">
            <v>7000</v>
          </cell>
        </row>
        <row r="34">
          <cell r="G34">
            <v>110</v>
          </cell>
        </row>
        <row r="45">
          <cell r="G45">
            <v>300</v>
          </cell>
        </row>
        <row r="46">
          <cell r="G46">
            <v>110</v>
          </cell>
        </row>
        <row r="47">
          <cell r="G47">
            <v>105</v>
          </cell>
        </row>
        <row r="48">
          <cell r="G48">
            <v>110</v>
          </cell>
        </row>
        <row r="49">
          <cell r="G49">
            <v>100</v>
          </cell>
        </row>
        <row r="50">
          <cell r="G50">
            <v>100</v>
          </cell>
        </row>
        <row r="51">
          <cell r="G51">
            <v>300</v>
          </cell>
        </row>
        <row r="53">
          <cell r="G53">
            <v>200</v>
          </cell>
        </row>
        <row r="54">
          <cell r="G54">
            <v>2600</v>
          </cell>
        </row>
      </sheetData>
      <sheetData sheetId="3" refreshError="1">
        <row r="3">
          <cell r="D3">
            <v>73</v>
          </cell>
        </row>
        <row r="4">
          <cell r="D4">
            <v>90</v>
          </cell>
        </row>
        <row r="5">
          <cell r="D5">
            <v>130</v>
          </cell>
        </row>
        <row r="6">
          <cell r="D6">
            <v>130</v>
          </cell>
        </row>
        <row r="7">
          <cell r="D7">
            <v>180</v>
          </cell>
        </row>
        <row r="8">
          <cell r="D8">
            <v>85</v>
          </cell>
        </row>
        <row r="9">
          <cell r="D9">
            <v>90</v>
          </cell>
        </row>
        <row r="10">
          <cell r="D10">
            <v>90</v>
          </cell>
        </row>
        <row r="11">
          <cell r="D11">
            <v>130</v>
          </cell>
        </row>
        <row r="12">
          <cell r="D12">
            <v>150</v>
          </cell>
        </row>
        <row r="13">
          <cell r="D13">
            <v>150</v>
          </cell>
        </row>
        <row r="14">
          <cell r="D14">
            <v>160</v>
          </cell>
        </row>
        <row r="15">
          <cell r="D15">
            <v>150</v>
          </cell>
        </row>
        <row r="16">
          <cell r="D16">
            <v>90</v>
          </cell>
        </row>
        <row r="17">
          <cell r="D17">
            <v>73</v>
          </cell>
        </row>
        <row r="18">
          <cell r="D18">
            <v>75</v>
          </cell>
        </row>
        <row r="19">
          <cell r="D19">
            <v>80</v>
          </cell>
        </row>
        <row r="20">
          <cell r="D20">
            <v>120</v>
          </cell>
        </row>
        <row r="21">
          <cell r="D21">
            <v>150</v>
          </cell>
        </row>
        <row r="22">
          <cell r="D22">
            <v>150</v>
          </cell>
        </row>
        <row r="23">
          <cell r="D23">
            <v>90</v>
          </cell>
        </row>
      </sheetData>
      <sheetData sheetId="4" refreshError="1">
        <row r="3">
          <cell r="D3">
            <v>20</v>
          </cell>
        </row>
        <row r="4">
          <cell r="D4">
            <v>300</v>
          </cell>
        </row>
        <row r="5">
          <cell r="D5">
            <v>280</v>
          </cell>
        </row>
        <row r="6">
          <cell r="D6">
            <v>280</v>
          </cell>
        </row>
        <row r="7">
          <cell r="D7">
            <v>300</v>
          </cell>
        </row>
        <row r="8">
          <cell r="D8">
            <v>280</v>
          </cell>
        </row>
        <row r="9">
          <cell r="D9">
            <v>240</v>
          </cell>
        </row>
        <row r="10">
          <cell r="D10">
            <v>280</v>
          </cell>
        </row>
        <row r="11">
          <cell r="D11">
            <v>280</v>
          </cell>
        </row>
        <row r="12">
          <cell r="D12">
            <v>280</v>
          </cell>
        </row>
        <row r="13">
          <cell r="D13">
            <v>294</v>
          </cell>
        </row>
        <row r="14">
          <cell r="D14">
            <v>294</v>
          </cell>
        </row>
        <row r="15">
          <cell r="D15">
            <v>294</v>
          </cell>
        </row>
        <row r="16">
          <cell r="D16">
            <v>294</v>
          </cell>
        </row>
        <row r="17">
          <cell r="D17">
            <v>260</v>
          </cell>
        </row>
        <row r="18">
          <cell r="D18">
            <v>280</v>
          </cell>
        </row>
        <row r="19">
          <cell r="D19">
            <v>260</v>
          </cell>
        </row>
        <row r="20">
          <cell r="D20">
            <v>100</v>
          </cell>
        </row>
        <row r="21">
          <cell r="D21">
            <v>100</v>
          </cell>
        </row>
        <row r="22">
          <cell r="D22">
            <v>100</v>
          </cell>
        </row>
        <row r="23">
          <cell r="D23">
            <v>125</v>
          </cell>
        </row>
        <row r="24">
          <cell r="D24">
            <v>200</v>
          </cell>
        </row>
        <row r="25">
          <cell r="D25">
            <v>300</v>
          </cell>
        </row>
        <row r="26">
          <cell r="D26">
            <v>315</v>
          </cell>
        </row>
        <row r="27">
          <cell r="D27">
            <v>380</v>
          </cell>
        </row>
        <row r="28">
          <cell r="D28">
            <v>5000</v>
          </cell>
        </row>
        <row r="29">
          <cell r="D29">
            <v>50</v>
          </cell>
        </row>
        <row r="30">
          <cell r="D30">
            <v>50</v>
          </cell>
        </row>
        <row r="31">
          <cell r="D31">
            <v>60</v>
          </cell>
        </row>
        <row r="32">
          <cell r="D32">
            <v>70</v>
          </cell>
        </row>
        <row r="33">
          <cell r="D33">
            <v>80</v>
          </cell>
        </row>
        <row r="34">
          <cell r="D34">
            <v>50</v>
          </cell>
        </row>
        <row r="35">
          <cell r="D35">
            <v>60</v>
          </cell>
        </row>
        <row r="36">
          <cell r="D36">
            <v>35</v>
          </cell>
        </row>
        <row r="37">
          <cell r="D37">
            <v>125</v>
          </cell>
        </row>
        <row r="38">
          <cell r="D38">
            <v>35</v>
          </cell>
        </row>
        <row r="39">
          <cell r="D39">
            <v>27500</v>
          </cell>
        </row>
        <row r="40">
          <cell r="D40" t="str">
            <v>Input Rate</v>
          </cell>
        </row>
        <row r="41">
          <cell r="D41">
            <v>30000</v>
          </cell>
        </row>
        <row r="42">
          <cell r="D42">
            <v>24000</v>
          </cell>
        </row>
        <row r="43">
          <cell r="D43">
            <v>23000</v>
          </cell>
        </row>
        <row r="44">
          <cell r="D44">
            <v>22000</v>
          </cell>
        </row>
        <row r="45">
          <cell r="D45">
            <v>22000</v>
          </cell>
        </row>
        <row r="46">
          <cell r="D46">
            <v>60</v>
          </cell>
        </row>
        <row r="47">
          <cell r="D47">
            <v>250</v>
          </cell>
        </row>
        <row r="48">
          <cell r="D48">
            <v>15</v>
          </cell>
        </row>
        <row r="49">
          <cell r="D49">
            <v>15</v>
          </cell>
        </row>
        <row r="50">
          <cell r="D50">
            <v>1.4</v>
          </cell>
        </row>
        <row r="51">
          <cell r="D51">
            <v>3700</v>
          </cell>
        </row>
        <row r="52">
          <cell r="D52">
            <v>15</v>
          </cell>
        </row>
        <row r="53">
          <cell r="D53">
            <v>40</v>
          </cell>
        </row>
        <row r="54">
          <cell r="D54">
            <v>4</v>
          </cell>
        </row>
        <row r="55">
          <cell r="D55">
            <v>600</v>
          </cell>
        </row>
        <row r="56">
          <cell r="D56">
            <v>300</v>
          </cell>
        </row>
        <row r="57">
          <cell r="D57">
            <v>50</v>
          </cell>
        </row>
        <row r="58">
          <cell r="D58">
            <v>35</v>
          </cell>
        </row>
        <row r="59">
          <cell r="D59">
            <v>60</v>
          </cell>
        </row>
        <row r="60">
          <cell r="D60">
            <v>4</v>
          </cell>
        </row>
        <row r="61">
          <cell r="D61">
            <v>225</v>
          </cell>
        </row>
        <row r="62">
          <cell r="D62">
            <v>225</v>
          </cell>
        </row>
        <row r="63">
          <cell r="D63">
            <v>340</v>
          </cell>
        </row>
        <row r="64">
          <cell r="D64">
            <v>280</v>
          </cell>
        </row>
        <row r="65">
          <cell r="D65">
            <v>280</v>
          </cell>
        </row>
        <row r="66">
          <cell r="D66">
            <v>280</v>
          </cell>
        </row>
        <row r="67">
          <cell r="D67">
            <v>260</v>
          </cell>
        </row>
        <row r="68">
          <cell r="D68">
            <v>260</v>
          </cell>
        </row>
        <row r="69">
          <cell r="D69">
            <v>40</v>
          </cell>
        </row>
        <row r="70">
          <cell r="D70">
            <v>100</v>
          </cell>
        </row>
        <row r="71">
          <cell r="D71">
            <v>30</v>
          </cell>
        </row>
        <row r="72">
          <cell r="D72">
            <v>65</v>
          </cell>
        </row>
        <row r="73">
          <cell r="D73">
            <v>8500</v>
          </cell>
        </row>
        <row r="74">
          <cell r="D74">
            <v>15</v>
          </cell>
        </row>
        <row r="75">
          <cell r="D75">
            <v>330</v>
          </cell>
        </row>
        <row r="77">
          <cell r="D77">
            <v>300</v>
          </cell>
        </row>
        <row r="78">
          <cell r="D78">
            <v>75</v>
          </cell>
        </row>
        <row r="79">
          <cell r="D79">
            <v>175</v>
          </cell>
        </row>
        <row r="80">
          <cell r="D80">
            <v>225</v>
          </cell>
        </row>
        <row r="81">
          <cell r="D81">
            <v>35</v>
          </cell>
        </row>
        <row r="83">
          <cell r="D83">
            <v>100</v>
          </cell>
        </row>
        <row r="84">
          <cell r="D84">
            <v>250</v>
          </cell>
        </row>
        <row r="85">
          <cell r="D85">
            <v>200</v>
          </cell>
        </row>
        <row r="86">
          <cell r="D86">
            <v>50</v>
          </cell>
        </row>
        <row r="87">
          <cell r="D87">
            <v>250</v>
          </cell>
        </row>
        <row r="88">
          <cell r="D88">
            <v>95</v>
          </cell>
        </row>
        <row r="89">
          <cell r="D89">
            <v>200</v>
          </cell>
        </row>
        <row r="90">
          <cell r="D90">
            <v>120</v>
          </cell>
        </row>
        <row r="91">
          <cell r="D91">
            <v>200</v>
          </cell>
        </row>
        <row r="92">
          <cell r="D92">
            <v>250</v>
          </cell>
        </row>
        <row r="93">
          <cell r="D93">
            <v>610</v>
          </cell>
        </row>
        <row r="94">
          <cell r="D94">
            <v>200</v>
          </cell>
        </row>
        <row r="95">
          <cell r="D95">
            <v>7</v>
          </cell>
        </row>
        <row r="96">
          <cell r="D96">
            <v>340</v>
          </cell>
        </row>
        <row r="97">
          <cell r="D97">
            <v>2200</v>
          </cell>
        </row>
        <row r="99">
          <cell r="D99">
            <v>150</v>
          </cell>
        </row>
        <row r="100">
          <cell r="D100">
            <v>1200</v>
          </cell>
        </row>
        <row r="101">
          <cell r="D101">
            <v>200</v>
          </cell>
        </row>
        <row r="102">
          <cell r="D102">
            <v>4</v>
          </cell>
        </row>
        <row r="103">
          <cell r="D103">
            <v>30000</v>
          </cell>
        </row>
        <row r="104">
          <cell r="D104">
            <v>40</v>
          </cell>
        </row>
        <row r="105">
          <cell r="D105">
            <v>300</v>
          </cell>
        </row>
        <row r="106">
          <cell r="D106">
            <v>400</v>
          </cell>
        </row>
        <row r="107">
          <cell r="D107">
            <v>45000</v>
          </cell>
        </row>
        <row r="108">
          <cell r="D108">
            <v>110</v>
          </cell>
        </row>
        <row r="109">
          <cell r="D109">
            <v>90</v>
          </cell>
        </row>
        <row r="110">
          <cell r="D110">
            <v>60</v>
          </cell>
        </row>
        <row r="111">
          <cell r="D111">
            <v>60</v>
          </cell>
        </row>
        <row r="112">
          <cell r="D112">
            <v>120</v>
          </cell>
        </row>
        <row r="113">
          <cell r="D113">
            <v>3200</v>
          </cell>
        </row>
        <row r="114">
          <cell r="D114">
            <v>2200</v>
          </cell>
        </row>
        <row r="115">
          <cell r="D115">
            <v>1600</v>
          </cell>
        </row>
        <row r="117">
          <cell r="D117">
            <v>750</v>
          </cell>
        </row>
        <row r="118">
          <cell r="D118">
            <v>3840</v>
          </cell>
        </row>
        <row r="119">
          <cell r="D119">
            <v>2620</v>
          </cell>
        </row>
        <row r="120">
          <cell r="D120">
            <v>1600</v>
          </cell>
        </row>
        <row r="122">
          <cell r="D122">
            <v>1300</v>
          </cell>
        </row>
        <row r="123">
          <cell r="D123">
            <v>80</v>
          </cell>
        </row>
        <row r="124">
          <cell r="D124">
            <v>120</v>
          </cell>
        </row>
        <row r="125">
          <cell r="D125">
            <v>250</v>
          </cell>
        </row>
        <row r="126">
          <cell r="D126">
            <v>250</v>
          </cell>
        </row>
        <row r="127">
          <cell r="D127">
            <v>3000</v>
          </cell>
        </row>
        <row r="128">
          <cell r="D128">
            <v>135</v>
          </cell>
        </row>
        <row r="129">
          <cell r="D129">
            <v>32000</v>
          </cell>
        </row>
        <row r="130">
          <cell r="D130">
            <v>30000</v>
          </cell>
        </row>
        <row r="131">
          <cell r="D131">
            <v>33000</v>
          </cell>
        </row>
        <row r="132">
          <cell r="D132">
            <v>140</v>
          </cell>
        </row>
        <row r="133">
          <cell r="D133">
            <v>300</v>
          </cell>
        </row>
        <row r="135">
          <cell r="D135">
            <v>280</v>
          </cell>
        </row>
        <row r="136">
          <cell r="D136">
            <v>375</v>
          </cell>
        </row>
        <row r="137">
          <cell r="D137">
            <v>325</v>
          </cell>
        </row>
        <row r="138">
          <cell r="D138">
            <v>150</v>
          </cell>
        </row>
        <row r="139">
          <cell r="D139">
            <v>5</v>
          </cell>
        </row>
        <row r="140">
          <cell r="D140">
            <v>300</v>
          </cell>
        </row>
        <row r="142">
          <cell r="D142">
            <v>280</v>
          </cell>
        </row>
        <row r="143">
          <cell r="D143">
            <v>280</v>
          </cell>
        </row>
        <row r="144">
          <cell r="D144">
            <v>250</v>
          </cell>
        </row>
        <row r="145">
          <cell r="D145">
            <v>275</v>
          </cell>
        </row>
        <row r="146">
          <cell r="D146">
            <v>50</v>
          </cell>
        </row>
        <row r="147">
          <cell r="D147">
            <v>100</v>
          </cell>
        </row>
        <row r="148">
          <cell r="D148">
            <v>140</v>
          </cell>
        </row>
        <row r="149">
          <cell r="D149">
            <v>150</v>
          </cell>
        </row>
        <row r="150">
          <cell r="D150">
            <v>100</v>
          </cell>
        </row>
        <row r="151">
          <cell r="D151">
            <v>140</v>
          </cell>
        </row>
        <row r="152">
          <cell r="D152">
            <v>100</v>
          </cell>
        </row>
        <row r="153">
          <cell r="D153">
            <v>120</v>
          </cell>
        </row>
        <row r="154">
          <cell r="D154">
            <v>100</v>
          </cell>
        </row>
        <row r="155">
          <cell r="D155">
            <v>140</v>
          </cell>
        </row>
        <row r="156">
          <cell r="D156">
            <v>120</v>
          </cell>
        </row>
        <row r="157">
          <cell r="D157">
            <v>100</v>
          </cell>
        </row>
        <row r="158">
          <cell r="D158">
            <v>140</v>
          </cell>
        </row>
        <row r="159">
          <cell r="D159">
            <v>120</v>
          </cell>
        </row>
        <row r="160">
          <cell r="D160">
            <v>100</v>
          </cell>
        </row>
        <row r="161">
          <cell r="D161">
            <v>100</v>
          </cell>
        </row>
        <row r="162">
          <cell r="D162">
            <v>115</v>
          </cell>
        </row>
        <row r="163">
          <cell r="D163">
            <v>15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>
        <row r="4">
          <cell r="G4">
            <v>130</v>
          </cell>
        </row>
      </sheetData>
      <sheetData sheetId="58">
        <row r="4">
          <cell r="G4">
            <v>130</v>
          </cell>
        </row>
      </sheetData>
      <sheetData sheetId="59"/>
      <sheetData sheetId="60"/>
      <sheetData sheetId="61">
        <row r="4">
          <cell r="G4">
            <v>130</v>
          </cell>
        </row>
      </sheetData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Abstract"/>
    </sheetNames>
    <sheetDataSet>
      <sheetData sheetId="0" refreshError="1"/>
      <sheetData sheetId="1" refreshError="1"/>
      <sheetData sheetId="2" refreshError="1">
        <row r="5">
          <cell r="G5">
            <v>6600</v>
          </cell>
        </row>
        <row r="8">
          <cell r="G8">
            <v>80</v>
          </cell>
        </row>
        <row r="9">
          <cell r="G9">
            <v>100</v>
          </cell>
        </row>
        <row r="12">
          <cell r="G12">
            <v>300</v>
          </cell>
        </row>
        <row r="22">
          <cell r="G22">
            <v>270</v>
          </cell>
        </row>
        <row r="23">
          <cell r="G23">
            <v>150</v>
          </cell>
        </row>
        <row r="24">
          <cell r="G24">
            <v>150</v>
          </cell>
        </row>
        <row r="27">
          <cell r="G27">
            <v>60</v>
          </cell>
        </row>
        <row r="29">
          <cell r="G29">
            <v>60</v>
          </cell>
        </row>
        <row r="30">
          <cell r="G30">
            <v>60</v>
          </cell>
        </row>
        <row r="31">
          <cell r="G31">
            <v>60</v>
          </cell>
        </row>
        <row r="33">
          <cell r="G33">
            <v>12000</v>
          </cell>
        </row>
        <row r="46">
          <cell r="G46">
            <v>150</v>
          </cell>
        </row>
        <row r="47">
          <cell r="G47">
            <v>125</v>
          </cell>
        </row>
        <row r="50">
          <cell r="G50">
            <v>300</v>
          </cell>
        </row>
        <row r="51">
          <cell r="G51">
            <v>500</v>
          </cell>
        </row>
        <row r="54">
          <cell r="G54">
            <v>1800</v>
          </cell>
        </row>
      </sheetData>
      <sheetData sheetId="3" refreshError="1">
        <row r="4">
          <cell r="D4">
            <v>100</v>
          </cell>
        </row>
        <row r="7">
          <cell r="D7">
            <v>150</v>
          </cell>
        </row>
        <row r="8">
          <cell r="D8">
            <v>100</v>
          </cell>
        </row>
        <row r="9">
          <cell r="D9">
            <v>125</v>
          </cell>
        </row>
        <row r="10">
          <cell r="D10">
            <v>125</v>
          </cell>
        </row>
        <row r="12">
          <cell r="D12">
            <v>150</v>
          </cell>
        </row>
        <row r="13">
          <cell r="D13">
            <v>150</v>
          </cell>
        </row>
        <row r="15">
          <cell r="D15">
            <v>130</v>
          </cell>
        </row>
        <row r="18">
          <cell r="D18">
            <v>80</v>
          </cell>
        </row>
        <row r="20">
          <cell r="D20">
            <v>150</v>
          </cell>
        </row>
        <row r="21">
          <cell r="D21">
            <v>150</v>
          </cell>
        </row>
        <row r="22">
          <cell r="D22">
            <v>150</v>
          </cell>
        </row>
        <row r="23">
          <cell r="D23">
            <v>100</v>
          </cell>
        </row>
      </sheetData>
      <sheetData sheetId="4" refreshError="1">
        <row r="3">
          <cell r="D3">
            <v>40</v>
          </cell>
        </row>
        <row r="4">
          <cell r="D4">
            <v>350</v>
          </cell>
        </row>
        <row r="5">
          <cell r="D5">
            <v>325</v>
          </cell>
        </row>
        <row r="6">
          <cell r="D6">
            <v>325</v>
          </cell>
        </row>
        <row r="7">
          <cell r="D7">
            <v>350</v>
          </cell>
        </row>
        <row r="8">
          <cell r="D8">
            <v>250</v>
          </cell>
        </row>
        <row r="9">
          <cell r="D9">
            <v>325</v>
          </cell>
        </row>
        <row r="10">
          <cell r="D10">
            <v>325</v>
          </cell>
        </row>
        <row r="11">
          <cell r="D11">
            <v>325</v>
          </cell>
        </row>
        <row r="12">
          <cell r="D12">
            <v>300</v>
          </cell>
        </row>
        <row r="13">
          <cell r="D13">
            <v>300</v>
          </cell>
        </row>
        <row r="14">
          <cell r="D14">
            <v>325</v>
          </cell>
        </row>
        <row r="15">
          <cell r="D15">
            <v>325</v>
          </cell>
        </row>
        <row r="16">
          <cell r="D16">
            <v>300</v>
          </cell>
        </row>
        <row r="20">
          <cell r="D20">
            <v>125</v>
          </cell>
        </row>
        <row r="23">
          <cell r="D23">
            <v>140</v>
          </cell>
        </row>
        <row r="24">
          <cell r="D24">
            <v>175</v>
          </cell>
        </row>
        <row r="26">
          <cell r="D26">
            <v>300</v>
          </cell>
        </row>
        <row r="27">
          <cell r="D27">
            <v>280</v>
          </cell>
        </row>
        <row r="28">
          <cell r="D28">
            <v>650</v>
          </cell>
        </row>
        <row r="29">
          <cell r="D29">
            <v>140</v>
          </cell>
        </row>
        <row r="30">
          <cell r="D30">
            <v>50</v>
          </cell>
        </row>
        <row r="31">
          <cell r="D31">
            <v>55</v>
          </cell>
        </row>
        <row r="32">
          <cell r="D32">
            <v>60</v>
          </cell>
        </row>
        <row r="33">
          <cell r="D33">
            <v>65</v>
          </cell>
        </row>
        <row r="34">
          <cell r="D34">
            <v>40</v>
          </cell>
        </row>
        <row r="35">
          <cell r="D35">
            <v>45</v>
          </cell>
        </row>
        <row r="36">
          <cell r="D36">
            <v>35</v>
          </cell>
        </row>
        <row r="37">
          <cell r="D37">
            <v>70</v>
          </cell>
        </row>
        <row r="39">
          <cell r="D39">
            <v>26000</v>
          </cell>
        </row>
        <row r="40">
          <cell r="D40">
            <v>27500</v>
          </cell>
        </row>
        <row r="41">
          <cell r="D41">
            <v>27500</v>
          </cell>
        </row>
        <row r="42">
          <cell r="D42">
            <v>23000</v>
          </cell>
        </row>
        <row r="46">
          <cell r="D46">
            <v>90</v>
          </cell>
        </row>
        <row r="47">
          <cell r="D47">
            <v>40</v>
          </cell>
        </row>
        <row r="50">
          <cell r="D50">
            <v>1.5</v>
          </cell>
        </row>
        <row r="52">
          <cell r="D52">
            <v>25</v>
          </cell>
        </row>
        <row r="53">
          <cell r="D53">
            <v>30</v>
          </cell>
        </row>
        <row r="54">
          <cell r="D54">
            <v>3.5</v>
          </cell>
        </row>
        <row r="55">
          <cell r="D55">
            <v>330</v>
          </cell>
        </row>
        <row r="56">
          <cell r="D56">
            <v>250</v>
          </cell>
        </row>
        <row r="57">
          <cell r="D57">
            <v>50</v>
          </cell>
        </row>
        <row r="58">
          <cell r="D58">
            <v>32</v>
          </cell>
        </row>
        <row r="59">
          <cell r="D59">
            <v>50</v>
          </cell>
        </row>
        <row r="60">
          <cell r="D60">
            <v>2</v>
          </cell>
        </row>
        <row r="61">
          <cell r="D61">
            <v>300</v>
          </cell>
        </row>
        <row r="62">
          <cell r="D62">
            <v>250</v>
          </cell>
        </row>
        <row r="63">
          <cell r="D63">
            <v>325</v>
          </cell>
        </row>
        <row r="66">
          <cell r="D66">
            <v>350</v>
          </cell>
        </row>
        <row r="67">
          <cell r="D67">
            <v>325</v>
          </cell>
        </row>
        <row r="68">
          <cell r="D68">
            <v>325</v>
          </cell>
        </row>
        <row r="69">
          <cell r="D69">
            <v>50</v>
          </cell>
        </row>
        <row r="70">
          <cell r="D70">
            <v>100</v>
          </cell>
        </row>
        <row r="71">
          <cell r="D71">
            <v>15</v>
          </cell>
        </row>
        <row r="72">
          <cell r="D72">
            <v>20</v>
          </cell>
        </row>
        <row r="73">
          <cell r="D73">
            <v>6720</v>
          </cell>
        </row>
        <row r="75">
          <cell r="D75">
            <v>400</v>
          </cell>
        </row>
        <row r="77">
          <cell r="D77">
            <v>200</v>
          </cell>
        </row>
        <row r="78">
          <cell r="D78">
            <v>150</v>
          </cell>
        </row>
        <row r="79">
          <cell r="D79">
            <v>150</v>
          </cell>
        </row>
        <row r="80">
          <cell r="D80">
            <v>325</v>
          </cell>
        </row>
        <row r="81">
          <cell r="D81">
            <v>35</v>
          </cell>
        </row>
        <row r="83">
          <cell r="D83">
            <v>90</v>
          </cell>
        </row>
        <row r="84">
          <cell r="D84">
            <v>225</v>
          </cell>
        </row>
        <row r="85">
          <cell r="D85">
            <v>170</v>
          </cell>
        </row>
        <row r="86">
          <cell r="D86">
            <v>40</v>
          </cell>
        </row>
        <row r="87">
          <cell r="D87">
            <v>325</v>
          </cell>
        </row>
        <row r="89">
          <cell r="D89">
            <v>200</v>
          </cell>
        </row>
        <row r="90">
          <cell r="D90">
            <v>150</v>
          </cell>
        </row>
        <row r="91">
          <cell r="D91">
            <v>300</v>
          </cell>
        </row>
        <row r="92">
          <cell r="D92">
            <v>340</v>
          </cell>
        </row>
        <row r="93">
          <cell r="D93">
            <v>200</v>
          </cell>
        </row>
        <row r="94">
          <cell r="D94">
            <v>240</v>
          </cell>
        </row>
        <row r="95">
          <cell r="D95">
            <v>7</v>
          </cell>
        </row>
        <row r="96">
          <cell r="D96">
            <v>250</v>
          </cell>
        </row>
        <row r="97">
          <cell r="D97">
            <v>4000</v>
          </cell>
        </row>
        <row r="99">
          <cell r="D99">
            <v>1000</v>
          </cell>
        </row>
        <row r="100">
          <cell r="D100">
            <v>15000</v>
          </cell>
        </row>
        <row r="101">
          <cell r="D101">
            <v>120</v>
          </cell>
        </row>
        <row r="102">
          <cell r="D102">
            <v>20</v>
          </cell>
        </row>
        <row r="103">
          <cell r="D103">
            <v>31000</v>
          </cell>
        </row>
        <row r="104">
          <cell r="D104">
            <v>45</v>
          </cell>
        </row>
        <row r="105">
          <cell r="D105">
            <v>350</v>
          </cell>
        </row>
        <row r="106">
          <cell r="D106">
            <v>470</v>
          </cell>
        </row>
        <row r="107">
          <cell r="D107">
            <v>45000</v>
          </cell>
        </row>
        <row r="108">
          <cell r="D108">
            <v>150</v>
          </cell>
        </row>
        <row r="109">
          <cell r="D109">
            <v>90</v>
          </cell>
        </row>
        <row r="110">
          <cell r="D110">
            <v>50</v>
          </cell>
        </row>
        <row r="111">
          <cell r="D111">
            <v>100</v>
          </cell>
        </row>
        <row r="112">
          <cell r="D112">
            <v>50</v>
          </cell>
        </row>
        <row r="113">
          <cell r="D113">
            <v>2750</v>
          </cell>
        </row>
        <row r="115">
          <cell r="D115">
            <v>1540</v>
          </cell>
        </row>
        <row r="118">
          <cell r="D118">
            <v>3300</v>
          </cell>
        </row>
        <row r="119">
          <cell r="D119">
            <v>2750</v>
          </cell>
        </row>
        <row r="120">
          <cell r="D120">
            <v>1650</v>
          </cell>
        </row>
        <row r="122">
          <cell r="D122">
            <v>1320</v>
          </cell>
        </row>
        <row r="123">
          <cell r="D123">
            <v>60</v>
          </cell>
        </row>
        <row r="124">
          <cell r="D124">
            <v>100</v>
          </cell>
        </row>
        <row r="127">
          <cell r="D127">
            <v>3000</v>
          </cell>
        </row>
        <row r="128">
          <cell r="D128">
            <v>125</v>
          </cell>
        </row>
        <row r="130">
          <cell r="D130">
            <v>30000</v>
          </cell>
        </row>
        <row r="131">
          <cell r="D131">
            <v>31000</v>
          </cell>
        </row>
        <row r="132">
          <cell r="D132">
            <v>150</v>
          </cell>
        </row>
        <row r="133">
          <cell r="D133">
            <v>325</v>
          </cell>
        </row>
        <row r="135">
          <cell r="D135">
            <v>325</v>
          </cell>
        </row>
        <row r="137">
          <cell r="D137">
            <v>280</v>
          </cell>
        </row>
        <row r="139">
          <cell r="D139">
            <v>6</v>
          </cell>
        </row>
        <row r="140">
          <cell r="D140">
            <v>225</v>
          </cell>
        </row>
        <row r="142">
          <cell r="D142">
            <v>225</v>
          </cell>
        </row>
        <row r="143">
          <cell r="D143">
            <v>225</v>
          </cell>
        </row>
        <row r="144">
          <cell r="D144">
            <v>120</v>
          </cell>
        </row>
        <row r="145">
          <cell r="D145">
            <v>800</v>
          </cell>
        </row>
        <row r="147">
          <cell r="D147">
            <v>100</v>
          </cell>
        </row>
        <row r="148">
          <cell r="D148">
            <v>110</v>
          </cell>
        </row>
        <row r="149">
          <cell r="D149">
            <v>120</v>
          </cell>
        </row>
        <row r="150">
          <cell r="D150">
            <v>90</v>
          </cell>
        </row>
        <row r="151">
          <cell r="D151">
            <v>100</v>
          </cell>
        </row>
        <row r="152">
          <cell r="D152">
            <v>110</v>
          </cell>
        </row>
        <row r="153">
          <cell r="D153">
            <v>110</v>
          </cell>
        </row>
        <row r="157">
          <cell r="D157">
            <v>100</v>
          </cell>
        </row>
        <row r="158">
          <cell r="D158">
            <v>110</v>
          </cell>
        </row>
        <row r="159">
          <cell r="D159">
            <v>110</v>
          </cell>
        </row>
        <row r="160">
          <cell r="D160">
            <v>90</v>
          </cell>
        </row>
        <row r="161">
          <cell r="D161">
            <v>90</v>
          </cell>
        </row>
        <row r="162">
          <cell r="D162">
            <v>90</v>
          </cell>
        </row>
        <row r="163">
          <cell r="D163">
            <v>13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-Schedule"/>
      <sheetName val="Front DPR"/>
      <sheetName val="TR "/>
      <sheetName val="General Abs."/>
      <sheetName val="Abstract"/>
      <sheetName val="Estimate (2)"/>
      <sheetName val="analysis (2)"/>
      <sheetName val="Wrong G.sch."/>
      <sheetName val="G.Sch. Garhi"/>
      <sheetName val="Estimate"/>
      <sheetName val=" Abs. Sani."/>
      <sheetName val="Estimade Sanit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5">
          <cell r="C5">
            <v>0.30480000000000002</v>
          </cell>
        </row>
      </sheetData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9"/>
  <sheetViews>
    <sheetView zoomScaleNormal="100" zoomScaleSheetLayoutView="130" workbookViewId="0">
      <pane ySplit="8" topLeftCell="A9" activePane="bottomLeft" state="frozen"/>
      <selection activeCell="C12" sqref="C12"/>
      <selection pane="bottomLeft" activeCell="B10" sqref="B10:G17"/>
    </sheetView>
  </sheetViews>
  <sheetFormatPr defaultRowHeight="12.75"/>
  <cols>
    <col min="1" max="1" width="4.28515625" style="25" customWidth="1"/>
    <col min="2" max="2" width="26.5703125" style="25" customWidth="1"/>
    <col min="3" max="3" width="10.7109375" style="25" customWidth="1"/>
    <col min="4" max="4" width="6.140625" style="25" customWidth="1"/>
    <col min="5" max="5" width="12" style="25" customWidth="1"/>
    <col min="6" max="6" width="12.140625" style="25" customWidth="1"/>
    <col min="7" max="7" width="7.42578125" style="25" customWidth="1"/>
    <col min="8" max="8" width="10.5703125" style="25" customWidth="1"/>
    <col min="9" max="9" width="10.42578125" style="25" customWidth="1"/>
    <col min="10" max="10" width="8.42578125" style="25" customWidth="1"/>
    <col min="11" max="11" width="7.28515625" style="25" customWidth="1"/>
    <col min="12" max="12" width="10.5703125" style="25" customWidth="1"/>
    <col min="13" max="13" width="8.5703125" style="25" customWidth="1"/>
    <col min="14" max="14" width="10.28515625" style="25" customWidth="1"/>
    <col min="15" max="16384" width="9.140625" style="25"/>
  </cols>
  <sheetData>
    <row r="1" spans="1:17" s="24" customFormat="1" ht="23.25">
      <c r="A1" s="63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7" ht="6.75" customHeight="1"/>
    <row r="3" spans="1:17" ht="3.75" customHeight="1"/>
    <row r="4" spans="1:17" s="26" customFormat="1" ht="51.75" customHeight="1">
      <c r="A4" s="64" t="s">
        <v>41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</row>
    <row r="6" spans="1:17" ht="12" customHeight="1">
      <c r="A6" s="65" t="s">
        <v>0</v>
      </c>
      <c r="B6" s="61" t="s">
        <v>1</v>
      </c>
      <c r="C6" s="61" t="s">
        <v>2</v>
      </c>
      <c r="D6" s="61"/>
      <c r="E6" s="61"/>
      <c r="F6" s="61"/>
      <c r="G6" s="61"/>
      <c r="H6" s="61"/>
      <c r="I6" s="61" t="s">
        <v>3</v>
      </c>
      <c r="J6" s="61" t="s">
        <v>37</v>
      </c>
      <c r="K6" s="61" t="s">
        <v>4</v>
      </c>
      <c r="L6" s="61" t="s">
        <v>30</v>
      </c>
      <c r="M6" s="61" t="s">
        <v>31</v>
      </c>
      <c r="N6" s="61" t="s">
        <v>32</v>
      </c>
      <c r="O6" s="1"/>
      <c r="P6" s="1"/>
      <c r="Q6" s="1"/>
    </row>
    <row r="7" spans="1:17" ht="69" customHeight="1">
      <c r="A7" s="65"/>
      <c r="B7" s="61"/>
      <c r="C7" s="51" t="s">
        <v>29</v>
      </c>
      <c r="D7" s="51" t="s">
        <v>22</v>
      </c>
      <c r="E7" s="51" t="s">
        <v>36</v>
      </c>
      <c r="F7" s="51" t="s">
        <v>5</v>
      </c>
      <c r="G7" s="52" t="s">
        <v>50</v>
      </c>
      <c r="H7" s="51" t="s">
        <v>6</v>
      </c>
      <c r="I7" s="61"/>
      <c r="J7" s="61"/>
      <c r="K7" s="61"/>
      <c r="L7" s="61"/>
      <c r="M7" s="61"/>
      <c r="N7" s="61"/>
      <c r="O7" s="1"/>
      <c r="P7" s="1"/>
      <c r="Q7" s="1"/>
    </row>
    <row r="8" spans="1:17" ht="12" customHeight="1">
      <c r="A8" s="51" t="s">
        <v>7</v>
      </c>
      <c r="B8" s="51" t="s">
        <v>8</v>
      </c>
      <c r="C8" s="61" t="s">
        <v>9</v>
      </c>
      <c r="D8" s="61"/>
      <c r="E8" s="51" t="s">
        <v>10</v>
      </c>
      <c r="F8" s="51" t="s">
        <v>11</v>
      </c>
      <c r="G8" s="51" t="s">
        <v>12</v>
      </c>
      <c r="H8" s="51" t="s">
        <v>13</v>
      </c>
      <c r="I8" s="51" t="s">
        <v>14</v>
      </c>
      <c r="J8" s="51" t="s">
        <v>15</v>
      </c>
      <c r="K8" s="51" t="s">
        <v>16</v>
      </c>
      <c r="L8" s="51" t="s">
        <v>17</v>
      </c>
      <c r="M8" s="51" t="s">
        <v>18</v>
      </c>
      <c r="N8" s="51" t="s">
        <v>19</v>
      </c>
    </row>
    <row r="9" spans="1:17" s="1" customFormat="1" ht="5.25" customHeight="1">
      <c r="A9" s="27"/>
      <c r="B9" s="27"/>
      <c r="C9" s="28"/>
      <c r="D9" s="28"/>
      <c r="E9" s="28"/>
      <c r="F9" s="29"/>
      <c r="G9" s="28"/>
      <c r="H9" s="30"/>
      <c r="I9" s="29"/>
      <c r="J9" s="29"/>
      <c r="K9" s="29"/>
      <c r="L9" s="29"/>
      <c r="M9" s="29"/>
      <c r="N9" s="30"/>
    </row>
    <row r="10" spans="1:17" s="1" customFormat="1" ht="18">
      <c r="A10" s="42">
        <v>1</v>
      </c>
      <c r="B10" s="50" t="s">
        <v>42</v>
      </c>
      <c r="C10" s="44">
        <f>4427.5/10.76</f>
        <v>411.47769516728624</v>
      </c>
      <c r="D10" s="44" t="s">
        <v>35</v>
      </c>
      <c r="E10" s="44">
        <f>1825*10.76</f>
        <v>19637</v>
      </c>
      <c r="F10" s="45">
        <f t="shared" ref="F10" si="0">C10*E10/100000</f>
        <v>80.801874999999995</v>
      </c>
      <c r="G10" s="44">
        <f>F10*0.15</f>
        <v>12.12028125</v>
      </c>
      <c r="H10" s="45">
        <f>SUM(F10:G10)</f>
        <v>92.92215625</v>
      </c>
      <c r="I10" s="40"/>
      <c r="J10" s="39">
        <f>H10*0.015</f>
        <v>1.39383234375</v>
      </c>
      <c r="K10" s="39">
        <f>H10*0.01</f>
        <v>0.92922156249999999</v>
      </c>
      <c r="L10" s="39"/>
      <c r="M10" s="39">
        <f>(H10+J10+K10)*0.13</f>
        <v>12.381877320312501</v>
      </c>
      <c r="N10" s="40">
        <f>H10+J10+K10+M10</f>
        <v>107.62708747656251</v>
      </c>
    </row>
    <row r="11" spans="1:17" s="1" customFormat="1" ht="47.25">
      <c r="A11" s="42"/>
      <c r="B11" s="53" t="s">
        <v>44</v>
      </c>
      <c r="C11" s="44"/>
      <c r="D11" s="44"/>
      <c r="E11" s="44"/>
      <c r="F11" s="45"/>
      <c r="G11" s="44"/>
      <c r="H11" s="45"/>
      <c r="I11" s="40"/>
      <c r="J11" s="39"/>
      <c r="K11" s="39"/>
      <c r="L11" s="39"/>
      <c r="M11" s="39"/>
      <c r="N11" s="40"/>
    </row>
    <row r="12" spans="1:17" s="1" customFormat="1" ht="15.75">
      <c r="A12" s="42"/>
      <c r="B12" s="54" t="s">
        <v>48</v>
      </c>
      <c r="C12" s="44"/>
      <c r="D12" s="44"/>
      <c r="E12" s="44"/>
      <c r="F12" s="45"/>
      <c r="G12" s="44"/>
      <c r="H12" s="45"/>
      <c r="I12" s="40"/>
      <c r="J12" s="39"/>
      <c r="K12" s="39"/>
      <c r="L12" s="39"/>
      <c r="M12" s="39"/>
      <c r="N12" s="40"/>
    </row>
    <row r="13" spans="1:17" s="1" customFormat="1" ht="18">
      <c r="A13" s="42">
        <v>2</v>
      </c>
      <c r="B13" s="50" t="s">
        <v>43</v>
      </c>
      <c r="C13" s="44"/>
      <c r="D13" s="44"/>
      <c r="E13" s="44"/>
      <c r="F13" s="45"/>
      <c r="G13" s="44"/>
      <c r="H13" s="45"/>
      <c r="I13" s="40"/>
      <c r="J13" s="39"/>
      <c r="K13" s="39"/>
      <c r="L13" s="39"/>
      <c r="M13" s="39"/>
      <c r="N13" s="40"/>
    </row>
    <row r="14" spans="1:17" s="1" customFormat="1" ht="15.75">
      <c r="A14" s="42"/>
      <c r="B14" s="53" t="s">
        <v>45</v>
      </c>
      <c r="C14" s="44">
        <f>C10</f>
        <v>411.47769516728624</v>
      </c>
      <c r="D14" s="44" t="s">
        <v>35</v>
      </c>
      <c r="E14" s="44">
        <f>1825*10.76</f>
        <v>19637</v>
      </c>
      <c r="F14" s="45">
        <f t="shared" ref="F14" si="1">C14*E14/100000</f>
        <v>80.801874999999995</v>
      </c>
      <c r="G14" s="44">
        <f>F14*0.15</f>
        <v>12.12028125</v>
      </c>
      <c r="H14" s="45">
        <f>SUM(F14:G14)</f>
        <v>92.92215625</v>
      </c>
      <c r="I14" s="39" t="s">
        <v>20</v>
      </c>
      <c r="J14" s="39">
        <f>H14*0.015</f>
        <v>1.39383234375</v>
      </c>
      <c r="K14" s="39">
        <f>H14*0.01</f>
        <v>0.92922156249999999</v>
      </c>
      <c r="L14" s="39" t="s">
        <v>20</v>
      </c>
      <c r="M14" s="39">
        <f>(H14+J14+K14)*0.13</f>
        <v>12.381877320312501</v>
      </c>
      <c r="N14" s="40">
        <f>H14+J14+K14+M14</f>
        <v>107.62708747656251</v>
      </c>
    </row>
    <row r="15" spans="1:17" s="1" customFormat="1" ht="15.75">
      <c r="A15" s="42"/>
      <c r="B15" s="54" t="s">
        <v>48</v>
      </c>
      <c r="C15" s="44"/>
      <c r="D15" s="44"/>
      <c r="E15" s="44"/>
      <c r="F15" s="45"/>
      <c r="G15" s="44"/>
      <c r="H15" s="45"/>
      <c r="I15" s="40"/>
      <c r="J15" s="39"/>
      <c r="K15" s="39"/>
      <c r="L15" s="39"/>
      <c r="M15" s="39"/>
      <c r="N15" s="40"/>
    </row>
    <row r="16" spans="1:17" s="41" customFormat="1" ht="4.5" customHeight="1">
      <c r="A16" s="42"/>
      <c r="B16" s="43"/>
      <c r="C16" s="36"/>
      <c r="D16" s="36"/>
      <c r="E16" s="36"/>
      <c r="F16" s="38"/>
      <c r="G16" s="36"/>
      <c r="H16" s="36"/>
      <c r="I16" s="40"/>
      <c r="J16" s="40"/>
      <c r="K16" s="40"/>
      <c r="L16" s="40"/>
      <c r="M16" s="40"/>
      <c r="N16" s="40"/>
    </row>
    <row r="17" spans="1:14" s="41" customFormat="1" ht="31.5">
      <c r="A17" s="42"/>
      <c r="B17" s="81" t="s">
        <v>51</v>
      </c>
      <c r="C17" s="36"/>
      <c r="D17" s="36"/>
      <c r="E17" s="37"/>
      <c r="F17" s="40"/>
      <c r="G17" s="40"/>
      <c r="H17" s="40"/>
      <c r="I17" s="40"/>
      <c r="J17" s="40"/>
      <c r="K17" s="40"/>
      <c r="L17" s="40"/>
      <c r="M17" s="37" t="s">
        <v>38</v>
      </c>
      <c r="N17" s="40">
        <f>SUM(N10:N14)</f>
        <v>215.25417495312502</v>
      </c>
    </row>
    <row r="18" spans="1:14" s="41" customFormat="1" ht="6.75" customHeight="1">
      <c r="A18" s="42"/>
      <c r="B18" s="43"/>
      <c r="C18" s="36"/>
      <c r="D18" s="36"/>
      <c r="E18" s="36"/>
      <c r="F18" s="38"/>
      <c r="G18" s="36"/>
      <c r="H18" s="36"/>
      <c r="I18" s="40"/>
      <c r="J18" s="40"/>
      <c r="K18" s="40"/>
      <c r="L18" s="40"/>
      <c r="M18" s="40"/>
      <c r="N18" s="40"/>
    </row>
    <row r="19" spans="1:14" s="23" customFormat="1" ht="36">
      <c r="A19" s="46"/>
      <c r="B19" s="47"/>
      <c r="C19" s="31"/>
      <c r="D19" s="31"/>
      <c r="E19" s="32"/>
      <c r="F19" s="33"/>
      <c r="G19" s="33"/>
      <c r="H19" s="33"/>
      <c r="I19" s="32"/>
      <c r="J19" s="33"/>
      <c r="K19" s="33"/>
      <c r="L19" s="62" t="s">
        <v>33</v>
      </c>
      <c r="M19" s="62"/>
      <c r="N19" s="33" t="str">
        <f>+ROUND(N17*1,0)&amp;".00 Lacs"</f>
        <v>215.00 Lacs</v>
      </c>
    </row>
    <row r="20" spans="1:14" s="23" customFormat="1" ht="18">
      <c r="A20" s="55"/>
      <c r="B20" s="56"/>
      <c r="C20" s="57"/>
      <c r="D20" s="57"/>
      <c r="E20" s="58"/>
      <c r="F20" s="59"/>
      <c r="G20" s="59"/>
      <c r="H20" s="59"/>
      <c r="I20" s="58"/>
      <c r="J20" s="59"/>
      <c r="K20" s="59"/>
      <c r="L20" s="60"/>
      <c r="M20" s="60"/>
      <c r="N20" s="59"/>
    </row>
    <row r="21" spans="1:14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spans="1:14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spans="1:14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1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4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4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spans="1:14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</row>
    <row r="28" spans="1:14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</row>
    <row r="29" spans="1:14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</row>
  </sheetData>
  <mergeCells count="13">
    <mergeCell ref="N6:N7"/>
    <mergeCell ref="C8:D8"/>
    <mergeCell ref="L19:M19"/>
    <mergeCell ref="A1:N1"/>
    <mergeCell ref="A4:N4"/>
    <mergeCell ref="A6:A7"/>
    <mergeCell ref="B6:B7"/>
    <mergeCell ref="C6:H6"/>
    <mergeCell ref="I6:I7"/>
    <mergeCell ref="J6:J7"/>
    <mergeCell ref="K6:K7"/>
    <mergeCell ref="L6:L7"/>
    <mergeCell ref="M6:M7"/>
  </mergeCells>
  <printOptions horizontalCentered="1"/>
  <pageMargins left="0.55118110236220497" right="0.196850393700787" top="0.31496062992126" bottom="0.35433070866141703" header="0.23622047244094499" footer="0.196850393700787"/>
  <pageSetup paperSize="9" scale="98" fitToHeight="25" orientation="landscape" r:id="rId1"/>
  <headerFooter alignWithMargins="0">
    <oddFooter>&amp;L&amp;7&amp;F\&amp;A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3"/>
  <sheetViews>
    <sheetView topLeftCell="A13" zoomScale="130" zoomScaleNormal="130" workbookViewId="0">
      <selection activeCell="B25" sqref="B25"/>
    </sheetView>
  </sheetViews>
  <sheetFormatPr defaultRowHeight="15"/>
  <cols>
    <col min="1" max="1" width="9.85546875" style="2" customWidth="1"/>
    <col min="2" max="2" width="20.7109375" style="3" customWidth="1"/>
    <col min="3" max="3" width="12" style="3" customWidth="1"/>
    <col min="4" max="4" width="85.140625" style="2" customWidth="1"/>
    <col min="5" max="16384" width="9.140625" style="2"/>
  </cols>
  <sheetData>
    <row r="1" spans="1:10" ht="15.75" thickTop="1">
      <c r="A1" s="22"/>
      <c r="B1" s="21"/>
      <c r="C1" s="21"/>
      <c r="D1" s="20"/>
    </row>
    <row r="2" spans="1:10">
      <c r="A2" s="7"/>
      <c r="B2" s="19"/>
      <c r="C2" s="19"/>
      <c r="D2" s="11"/>
    </row>
    <row r="3" spans="1:10">
      <c r="A3" s="7"/>
      <c r="B3" s="19"/>
      <c r="C3" s="19"/>
      <c r="D3" s="11"/>
    </row>
    <row r="4" spans="1:10">
      <c r="A4" s="7"/>
      <c r="B4" s="19"/>
      <c r="C4" s="19"/>
      <c r="D4" s="11"/>
    </row>
    <row r="5" spans="1:10">
      <c r="A5" s="7"/>
      <c r="B5" s="19"/>
      <c r="C5" s="19"/>
      <c r="D5" s="11"/>
    </row>
    <row r="6" spans="1:10" ht="20.25">
      <c r="A6" s="66" t="s">
        <v>26</v>
      </c>
      <c r="B6" s="67"/>
      <c r="C6" s="67"/>
      <c r="D6" s="68"/>
    </row>
    <row r="7" spans="1:10" ht="8.25" customHeight="1">
      <c r="A7" s="10"/>
      <c r="B7" s="9"/>
      <c r="C7" s="9"/>
      <c r="D7" s="8"/>
    </row>
    <row r="8" spans="1:10" ht="26.25">
      <c r="A8" s="72" t="s">
        <v>25</v>
      </c>
      <c r="B8" s="73"/>
      <c r="C8" s="73"/>
      <c r="D8" s="74"/>
    </row>
    <row r="9" spans="1:10">
      <c r="A9" s="17"/>
      <c r="B9" s="16"/>
      <c r="C9" s="16"/>
      <c r="D9" s="18"/>
    </row>
    <row r="10" spans="1:10" ht="54.75" customHeight="1">
      <c r="A10" s="75" t="s">
        <v>27</v>
      </c>
      <c r="B10" s="76"/>
      <c r="C10" s="76"/>
      <c r="D10" s="77"/>
    </row>
    <row r="11" spans="1:10" ht="24" customHeight="1">
      <c r="A11" s="10"/>
      <c r="B11" s="9"/>
      <c r="C11" s="9"/>
      <c r="D11" s="8"/>
    </row>
    <row r="12" spans="1:10" ht="68.25" customHeight="1">
      <c r="A12" s="78" t="str">
        <f>pwd!A4:N4</f>
        <v>Name of works :-  Forecast Estimate for Construction of Bar Association Library and Meeting Hall , Banswara</v>
      </c>
      <c r="B12" s="79"/>
      <c r="C12" s="79"/>
      <c r="D12" s="80"/>
      <c r="E12" s="15"/>
      <c r="F12" s="15"/>
      <c r="G12" s="15"/>
      <c r="H12" s="15"/>
      <c r="I12" s="15"/>
      <c r="J12" s="15"/>
    </row>
    <row r="13" spans="1:10" ht="21" customHeight="1">
      <c r="A13" s="14"/>
      <c r="B13" s="13"/>
      <c r="C13" s="13"/>
      <c r="D13" s="12"/>
    </row>
    <row r="14" spans="1:10" ht="20.25">
      <c r="A14" s="66" t="s">
        <v>34</v>
      </c>
      <c r="B14" s="67"/>
      <c r="C14" s="67"/>
      <c r="D14" s="68"/>
    </row>
    <row r="15" spans="1:10" ht="19.5" customHeight="1">
      <c r="A15" s="10"/>
      <c r="B15" s="9"/>
      <c r="C15" s="9"/>
      <c r="D15" s="11"/>
    </row>
    <row r="16" spans="1:10" ht="20.25" customHeight="1">
      <c r="A16" s="66" t="s">
        <v>39</v>
      </c>
      <c r="B16" s="67"/>
      <c r="C16" s="67"/>
      <c r="D16" s="68"/>
    </row>
    <row r="17" spans="1:4" ht="27.75" customHeight="1">
      <c r="A17" s="10"/>
      <c r="B17" s="9"/>
      <c r="C17" s="9"/>
      <c r="D17" s="11"/>
    </row>
    <row r="18" spans="1:4" ht="20.25" customHeight="1">
      <c r="A18" s="66" t="s">
        <v>24</v>
      </c>
      <c r="B18" s="67"/>
      <c r="C18" s="67"/>
      <c r="D18" s="68"/>
    </row>
    <row r="19" spans="1:4" ht="27.75" customHeight="1">
      <c r="A19" s="10"/>
      <c r="B19" s="9"/>
      <c r="C19" s="9"/>
      <c r="D19" s="11"/>
    </row>
    <row r="20" spans="1:4" ht="20.25" customHeight="1">
      <c r="A20" s="69">
        <v>700</v>
      </c>
      <c r="B20" s="70"/>
      <c r="C20" s="70"/>
      <c r="D20" s="71"/>
    </row>
    <row r="21" spans="1:4">
      <c r="A21" s="10"/>
      <c r="B21" s="9"/>
      <c r="C21" s="9"/>
      <c r="D21" s="8"/>
    </row>
    <row r="22" spans="1:4" ht="15.75" thickBot="1">
      <c r="A22" s="6"/>
      <c r="B22" s="5"/>
      <c r="C22" s="5"/>
      <c r="D22" s="4"/>
    </row>
    <row r="23" spans="1:4" ht="15.75" thickTop="1"/>
  </sheetData>
  <mergeCells count="8">
    <mergeCell ref="A16:D16"/>
    <mergeCell ref="A20:D20"/>
    <mergeCell ref="A6:D6"/>
    <mergeCell ref="A8:D8"/>
    <mergeCell ref="A10:D10"/>
    <mergeCell ref="A18:D18"/>
    <mergeCell ref="A14:D14"/>
    <mergeCell ref="A12:D12"/>
  </mergeCells>
  <pageMargins left="1.2" right="0.2" top="0.76" bottom="0.71" header="0.5" footer="0.27"/>
  <pageSetup paperSize="9" orientation="landscape" r:id="rId1"/>
  <headerFooter alignWithMargins="0">
    <oddFooter>&amp;L&amp;"Times New Roman,Bold Italic"&amp;8        PS-1 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Q33"/>
  <sheetViews>
    <sheetView tabSelected="1" zoomScaleNormal="100" zoomScaleSheetLayoutView="130" workbookViewId="0">
      <pane ySplit="8" topLeftCell="A9" activePane="bottomLeft" state="frozen"/>
      <selection activeCell="C12" sqref="C12"/>
      <selection pane="bottomLeft" activeCell="H22" sqref="H22"/>
    </sheetView>
  </sheetViews>
  <sheetFormatPr defaultRowHeight="12.75"/>
  <cols>
    <col min="1" max="1" width="4.28515625" style="25" customWidth="1"/>
    <col min="2" max="2" width="26.5703125" style="25" customWidth="1"/>
    <col min="3" max="3" width="10.7109375" style="25" customWidth="1"/>
    <col min="4" max="4" width="6.140625" style="25" customWidth="1"/>
    <col min="5" max="5" width="12" style="25" customWidth="1"/>
    <col min="6" max="6" width="12.140625" style="25" customWidth="1"/>
    <col min="7" max="7" width="7.42578125" style="25" customWidth="1"/>
    <col min="8" max="8" width="10.5703125" style="25" customWidth="1"/>
    <col min="9" max="9" width="10.42578125" style="25" customWidth="1"/>
    <col min="10" max="10" width="8.42578125" style="25" customWidth="1"/>
    <col min="11" max="11" width="7.28515625" style="25" customWidth="1"/>
    <col min="12" max="12" width="10.5703125" style="25" customWidth="1"/>
    <col min="13" max="13" width="8.5703125" style="25" customWidth="1"/>
    <col min="14" max="14" width="10.28515625" style="25" customWidth="1"/>
    <col min="15" max="16384" width="9.140625" style="25"/>
  </cols>
  <sheetData>
    <row r="1" spans="1:17" s="24" customFormat="1" ht="23.25">
      <c r="A1" s="63" t="s">
        <v>40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7" ht="6.75" customHeight="1"/>
    <row r="3" spans="1:17" ht="3.75" customHeight="1"/>
    <row r="4" spans="1:17" s="26" customFormat="1" ht="51.75" customHeight="1">
      <c r="A4" s="64" t="s">
        <v>41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</row>
    <row r="6" spans="1:17" ht="12" customHeight="1">
      <c r="A6" s="65" t="s">
        <v>0</v>
      </c>
      <c r="B6" s="61" t="s">
        <v>1</v>
      </c>
      <c r="C6" s="61" t="s">
        <v>2</v>
      </c>
      <c r="D6" s="61"/>
      <c r="E6" s="61"/>
      <c r="F6" s="61"/>
      <c r="G6" s="61"/>
      <c r="H6" s="61"/>
      <c r="I6" s="61" t="s">
        <v>3</v>
      </c>
      <c r="J6" s="61" t="s">
        <v>37</v>
      </c>
      <c r="K6" s="61" t="s">
        <v>4</v>
      </c>
      <c r="L6" s="61" t="s">
        <v>30</v>
      </c>
      <c r="M6" s="61" t="s">
        <v>31</v>
      </c>
      <c r="N6" s="61" t="s">
        <v>32</v>
      </c>
      <c r="O6" s="1"/>
      <c r="P6" s="1"/>
      <c r="Q6" s="1"/>
    </row>
    <row r="7" spans="1:17" ht="45" customHeight="1">
      <c r="A7" s="65"/>
      <c r="B7" s="61"/>
      <c r="C7" s="51" t="s">
        <v>29</v>
      </c>
      <c r="D7" s="51" t="s">
        <v>22</v>
      </c>
      <c r="E7" s="51" t="s">
        <v>36</v>
      </c>
      <c r="F7" s="51" t="s">
        <v>5</v>
      </c>
      <c r="G7" s="52" t="s">
        <v>21</v>
      </c>
      <c r="H7" s="51" t="s">
        <v>6</v>
      </c>
      <c r="I7" s="61"/>
      <c r="J7" s="61"/>
      <c r="K7" s="61"/>
      <c r="L7" s="61"/>
      <c r="M7" s="61"/>
      <c r="N7" s="61"/>
      <c r="O7" s="1"/>
      <c r="P7" s="1"/>
      <c r="Q7" s="1"/>
    </row>
    <row r="8" spans="1:17" ht="12" customHeight="1">
      <c r="A8" s="51" t="s">
        <v>7</v>
      </c>
      <c r="B8" s="51" t="s">
        <v>8</v>
      </c>
      <c r="C8" s="61" t="s">
        <v>9</v>
      </c>
      <c r="D8" s="61"/>
      <c r="E8" s="51" t="s">
        <v>10</v>
      </c>
      <c r="F8" s="51" t="s">
        <v>11</v>
      </c>
      <c r="G8" s="51" t="s">
        <v>12</v>
      </c>
      <c r="H8" s="51" t="s">
        <v>13</v>
      </c>
      <c r="I8" s="51" t="s">
        <v>14</v>
      </c>
      <c r="J8" s="51" t="s">
        <v>15</v>
      </c>
      <c r="K8" s="51" t="s">
        <v>16</v>
      </c>
      <c r="L8" s="51" t="s">
        <v>17</v>
      </c>
      <c r="M8" s="51" t="s">
        <v>18</v>
      </c>
      <c r="N8" s="51" t="s">
        <v>19</v>
      </c>
    </row>
    <row r="9" spans="1:17" s="1" customFormat="1" ht="5.25" customHeight="1">
      <c r="A9" s="27"/>
      <c r="B9" s="27"/>
      <c r="C9" s="28"/>
      <c r="D9" s="28"/>
      <c r="E9" s="28"/>
      <c r="F9" s="29"/>
      <c r="G9" s="28"/>
      <c r="H9" s="30"/>
      <c r="I9" s="29"/>
      <c r="J9" s="29"/>
      <c r="K9" s="29"/>
      <c r="L9" s="29"/>
      <c r="M9" s="29"/>
      <c r="N9" s="30"/>
    </row>
    <row r="10" spans="1:17" s="1" customFormat="1" ht="18">
      <c r="A10" s="42">
        <v>1</v>
      </c>
      <c r="B10" s="50" t="s">
        <v>42</v>
      </c>
      <c r="C10" s="44">
        <v>411.47769516728624</v>
      </c>
      <c r="D10" s="44" t="s">
        <v>35</v>
      </c>
      <c r="E10" s="44">
        <v>19637</v>
      </c>
      <c r="F10" s="45">
        <v>80.801874999999995</v>
      </c>
      <c r="G10" s="44">
        <v>12.12028125</v>
      </c>
      <c r="H10" s="45">
        <f>SUM(F10:G10)</f>
        <v>92.92215625</v>
      </c>
      <c r="I10" s="40"/>
      <c r="J10" s="39">
        <f>H10*0.015</f>
        <v>1.39383234375</v>
      </c>
      <c r="K10" s="39">
        <f>H10*0.01</f>
        <v>0.92922156249999999</v>
      </c>
      <c r="L10" s="39"/>
      <c r="M10" s="39">
        <f>(H10+J10+K10)*0.13</f>
        <v>12.381877320312501</v>
      </c>
      <c r="N10" s="40">
        <f>H10+J10+K10+M10</f>
        <v>107.62708747656251</v>
      </c>
    </row>
    <row r="11" spans="1:17" s="1" customFormat="1" ht="47.25">
      <c r="A11" s="42"/>
      <c r="B11" s="53" t="s">
        <v>44</v>
      </c>
      <c r="C11" s="44"/>
      <c r="D11" s="44"/>
      <c r="E11" s="44"/>
      <c r="F11" s="45"/>
      <c r="G11" s="44"/>
      <c r="H11" s="45"/>
      <c r="I11" s="40"/>
      <c r="J11" s="39"/>
      <c r="K11" s="39"/>
      <c r="L11" s="39"/>
      <c r="M11" s="39"/>
      <c r="N11" s="40"/>
    </row>
    <row r="12" spans="1:17" s="1" customFormat="1" ht="15.75">
      <c r="A12" s="42"/>
      <c r="B12" s="54" t="s">
        <v>48</v>
      </c>
      <c r="C12" s="44"/>
      <c r="D12" s="44"/>
      <c r="E12" s="44"/>
      <c r="F12" s="45"/>
      <c r="G12" s="44"/>
      <c r="H12" s="45"/>
      <c r="I12" s="40"/>
      <c r="J12" s="39"/>
      <c r="K12" s="39"/>
      <c r="L12" s="39"/>
      <c r="M12" s="39"/>
      <c r="N12" s="40"/>
    </row>
    <row r="13" spans="1:17" s="1" customFormat="1" ht="18">
      <c r="A13" s="42">
        <v>2</v>
      </c>
      <c r="B13" s="50" t="s">
        <v>43</v>
      </c>
      <c r="C13" s="44"/>
      <c r="D13" s="44"/>
      <c r="E13" s="44"/>
      <c r="F13" s="45"/>
      <c r="G13" s="44"/>
      <c r="H13" s="45"/>
      <c r="I13" s="40"/>
      <c r="J13" s="39"/>
      <c r="K13" s="39"/>
      <c r="L13" s="39"/>
      <c r="M13" s="39"/>
      <c r="N13" s="40"/>
    </row>
    <row r="14" spans="1:17" s="1" customFormat="1" ht="15.75">
      <c r="A14" s="42"/>
      <c r="B14" s="53" t="s">
        <v>45</v>
      </c>
      <c r="C14" s="44">
        <v>411.47769516728624</v>
      </c>
      <c r="D14" s="44" t="s">
        <v>35</v>
      </c>
      <c r="E14" s="44">
        <v>19637</v>
      </c>
      <c r="F14" s="45">
        <v>80.801874999999995</v>
      </c>
      <c r="G14" s="44">
        <v>12.12028125</v>
      </c>
      <c r="H14" s="45">
        <f>SUM(F14:G14)</f>
        <v>92.92215625</v>
      </c>
      <c r="I14" s="39" t="s">
        <v>20</v>
      </c>
      <c r="J14" s="39">
        <f>H14*0.015</f>
        <v>1.39383234375</v>
      </c>
      <c r="K14" s="39">
        <f>H14*0.01</f>
        <v>0.92922156249999999</v>
      </c>
      <c r="L14" s="39" t="s">
        <v>20</v>
      </c>
      <c r="M14" s="39">
        <f>(H14+J14+K14)*0.13</f>
        <v>12.381877320312501</v>
      </c>
      <c r="N14" s="40">
        <f>H14+J14+K14+M14</f>
        <v>107.62708747656251</v>
      </c>
    </row>
    <row r="15" spans="1:17" s="1" customFormat="1" ht="15.75">
      <c r="A15" s="42"/>
      <c r="B15" s="54" t="s">
        <v>48</v>
      </c>
      <c r="C15" s="44"/>
      <c r="D15" s="44"/>
      <c r="E15" s="44"/>
      <c r="F15" s="45"/>
      <c r="G15" s="44"/>
      <c r="H15" s="45"/>
      <c r="I15" s="40"/>
      <c r="J15" s="39"/>
      <c r="K15" s="39"/>
      <c r="L15" s="39"/>
      <c r="M15" s="39"/>
      <c r="N15" s="40"/>
    </row>
    <row r="16" spans="1:17" s="41" customFormat="1" ht="4.5" customHeight="1">
      <c r="A16" s="42"/>
      <c r="B16" s="43"/>
      <c r="C16" s="36"/>
      <c r="D16" s="36"/>
      <c r="E16" s="36"/>
      <c r="F16" s="38"/>
      <c r="G16" s="36"/>
      <c r="H16" s="36"/>
      <c r="I16" s="40"/>
      <c r="J16" s="40"/>
      <c r="K16" s="40"/>
      <c r="L16" s="40"/>
      <c r="M16" s="40"/>
      <c r="N16" s="40"/>
    </row>
    <row r="17" spans="1:14" s="41" customFormat="1" ht="15.75">
      <c r="A17" s="42"/>
      <c r="B17" s="43" t="s">
        <v>51</v>
      </c>
      <c r="C17" s="36"/>
      <c r="D17" s="36"/>
      <c r="E17" s="37"/>
      <c r="F17" s="40"/>
      <c r="G17" s="40"/>
      <c r="H17" s="40"/>
      <c r="I17" s="40"/>
      <c r="J17" s="40"/>
      <c r="K17" s="40"/>
      <c r="L17" s="40"/>
      <c r="M17" s="37" t="s">
        <v>38</v>
      </c>
      <c r="N17" s="40">
        <f>SUM(N10:N14)</f>
        <v>215.25417495312502</v>
      </c>
    </row>
    <row r="18" spans="1:14" s="41" customFormat="1" ht="6.75" customHeight="1">
      <c r="A18" s="42"/>
      <c r="B18" s="43"/>
      <c r="C18" s="36"/>
      <c r="D18" s="36"/>
      <c r="E18" s="36"/>
      <c r="F18" s="38"/>
      <c r="G18" s="36"/>
      <c r="H18" s="36"/>
      <c r="I18" s="40"/>
      <c r="J18" s="40"/>
      <c r="K18" s="40"/>
      <c r="L18" s="40"/>
      <c r="M18" s="40"/>
      <c r="N18" s="40"/>
    </row>
    <row r="19" spans="1:14" s="23" customFormat="1" ht="36">
      <c r="A19" s="46"/>
      <c r="B19" s="47"/>
      <c r="C19" s="31"/>
      <c r="D19" s="31"/>
      <c r="E19" s="32"/>
      <c r="F19" s="33"/>
      <c r="G19" s="33"/>
      <c r="H19" s="33"/>
      <c r="I19" s="32"/>
      <c r="J19" s="33"/>
      <c r="K19" s="33"/>
      <c r="L19" s="62" t="s">
        <v>33</v>
      </c>
      <c r="M19" s="62"/>
      <c r="N19" s="33" t="str">
        <f>+ROUND(N17*1,0)&amp;".00 Lacs"</f>
        <v>215.00 Lacs</v>
      </c>
    </row>
    <row r="20" spans="1:14" s="23" customFormat="1" ht="18">
      <c r="A20" s="55"/>
      <c r="B20" s="56"/>
      <c r="C20" s="57"/>
      <c r="D20" s="57"/>
      <c r="E20" s="58"/>
      <c r="F20" s="59"/>
      <c r="G20" s="59"/>
      <c r="H20" s="59"/>
      <c r="I20" s="58"/>
      <c r="J20" s="59"/>
      <c r="K20" s="59"/>
      <c r="L20" s="60"/>
      <c r="M20" s="60"/>
      <c r="N20" s="59"/>
    </row>
    <row r="21" spans="1:14" ht="21.75" customHeight="1">
      <c r="A21" s="34"/>
      <c r="H21" s="35"/>
      <c r="I21" s="34"/>
      <c r="J21" s="34"/>
      <c r="M21" s="34"/>
      <c r="N21" s="34"/>
    </row>
    <row r="22" spans="1:14" s="48" customFormat="1" ht="15.75">
      <c r="E22" s="49" t="s">
        <v>23</v>
      </c>
      <c r="F22" s="49"/>
      <c r="L22" s="49" t="s">
        <v>28</v>
      </c>
      <c r="M22" s="49"/>
    </row>
    <row r="23" spans="1:14" s="48" customFormat="1" ht="15.75">
      <c r="E23" s="49" t="s">
        <v>46</v>
      </c>
      <c r="F23" s="49"/>
      <c r="L23" s="49" t="s">
        <v>47</v>
      </c>
      <c r="M23" s="49"/>
    </row>
    <row r="24" spans="1:1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4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4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spans="1:14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</row>
    <row r="28" spans="1:14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</row>
    <row r="29" spans="1:14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</row>
    <row r="30" spans="1:14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spans="1:14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spans="1:14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spans="1:14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</row>
  </sheetData>
  <mergeCells count="13">
    <mergeCell ref="A1:N1"/>
    <mergeCell ref="A6:A7"/>
    <mergeCell ref="B6:B7"/>
    <mergeCell ref="C6:H6"/>
    <mergeCell ref="I6:I7"/>
    <mergeCell ref="J6:J7"/>
    <mergeCell ref="K6:K7"/>
    <mergeCell ref="A4:N4"/>
    <mergeCell ref="L19:M19"/>
    <mergeCell ref="C8:D8"/>
    <mergeCell ref="L6:L7"/>
    <mergeCell ref="M6:M7"/>
    <mergeCell ref="N6:N7"/>
  </mergeCells>
  <printOptions horizontalCentered="1"/>
  <pageMargins left="0.55118110236220497" right="0.196850393700787" top="0.31496062992126" bottom="0.35433070866141703" header="0.23622047244094499" footer="0.196850393700787"/>
  <pageSetup paperSize="9" scale="98" fitToHeight="25" orientation="landscape" r:id="rId1"/>
  <headerFooter alignWithMargins="0">
    <oddFooter>&amp;L&amp;7&amp;F\&amp;A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bar</vt:lpstr>
      <vt:lpstr>Front </vt:lpstr>
      <vt:lpstr>pwd</vt:lpstr>
      <vt:lpstr>bar!Print_Area</vt:lpstr>
      <vt:lpstr>pwd!Print_Area</vt:lpstr>
      <vt:lpstr>bar!Print_Titles</vt:lpstr>
      <vt:lpstr>pwd!Print_Titles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Rajkumar</cp:lastModifiedBy>
  <cp:lastPrinted>2026-09-18T18:16:35Z</cp:lastPrinted>
  <dcterms:created xsi:type="dcterms:W3CDTF">2020-08-25T12:20:00Z</dcterms:created>
  <dcterms:modified xsi:type="dcterms:W3CDTF">2026-09-18T18:16:39Z</dcterms:modified>
</cp:coreProperties>
</file>